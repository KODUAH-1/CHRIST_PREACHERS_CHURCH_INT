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mc:AlternateContent xmlns:mc="http://schemas.openxmlformats.org/markup-compatibility/2006">
    <mc:Choice Requires="x15">
      <x15ac:absPath xmlns:x15ac="http://schemas.microsoft.com/office/spreadsheetml/2010/11/ac" url="C:\Users\CHURCH\Downloads\"/>
    </mc:Choice>
  </mc:AlternateContent>
  <xr:revisionPtr revIDLastSave="0" documentId="13_ncr:1_{131583F1-61E5-4E73-A607-4A4973234961}" xr6:coauthVersionLast="36" xr6:coauthVersionMax="47" xr10:uidLastSave="{00000000-0000-0000-0000-000000000000}"/>
  <workbookProtection workbookAlgorithmName="SHA-512" workbookHashValue="q0KXIgvBLKQBf56cmWdyDfWz1b4hwmxNoMhpbp4q+/4c0z3eeJlL5a4d5Qi9Q0Ud2O8/eZrCHlxRO6xKC+4UmA==" workbookSaltValue="A9Vztt+RNvFZfwjqFToDGg==" workbookSpinCount="100000" lockStructure="1"/>
  <bookViews>
    <workbookView xWindow="0" yWindow="0" windowWidth="10350" windowHeight="7590" tabRatio="847" firstSheet="1" activeTab="2" xr2:uid="{00000000-000D-0000-FFFF-FFFF00000000}"/>
  </bookViews>
  <sheets>
    <sheet name="Notes_Old" sheetId="1" state="hidden" r:id="rId1"/>
    <sheet name="Errors Summary Sheet" sheetId="8" r:id="rId2"/>
    <sheet name="Cover Sheet" sheetId="9" r:id="rId3"/>
    <sheet name="Profit &amp; Loss Statement" sheetId="2" r:id="rId4"/>
    <sheet name="Balance Sheet" sheetId="3" r:id="rId5"/>
    <sheet name="Cash and Bank Notes" sheetId="12" r:id="rId6"/>
    <sheet name="Investment Details" sheetId="11" r:id="rId7"/>
    <sheet name="Acc Receivables &amp; Other Assets" sheetId="10" r:id="rId8"/>
    <sheet name="Borrowings" sheetId="14" r:id="rId9"/>
    <sheet name="Other Liabilities" sheetId="13" r:id="rId10"/>
    <sheet name="Outreach &amp; Social Performance" sheetId="5" r:id="rId11"/>
    <sheet name="Deposits Portfolio" sheetId="6" r:id="rId12"/>
    <sheet name="Top Largest Depositors" sheetId="15" r:id="rId13"/>
    <sheet name="Ratios" sheetId="7" r:id="rId14"/>
  </sheets>
  <definedNames>
    <definedName name="SAVING">'Cash and Bank Notes'!$C$31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9" l="1"/>
  <c r="K1" i="9"/>
  <c r="K2" i="9"/>
  <c r="E22" i="6" l="1"/>
  <c r="D22" i="6"/>
  <c r="E24" i="6"/>
  <c r="D24" i="6"/>
  <c r="E23" i="6"/>
  <c r="D23" i="6"/>
  <c r="D85" i="2" l="1"/>
  <c r="E37" i="15" l="1"/>
  <c r="E12" i="15"/>
  <c r="D21" i="7" s="1"/>
  <c r="D58" i="2"/>
  <c r="D17" i="2" s="1"/>
  <c r="D32" i="7"/>
  <c r="D31" i="7"/>
  <c r="B38" i="15"/>
  <c r="B13" i="15"/>
  <c r="E15" i="5" l="1"/>
  <c r="O17" i="8"/>
  <c r="O19" i="8"/>
  <c r="D22" i="3"/>
  <c r="E22" i="3" s="1"/>
  <c r="N11" i="8"/>
  <c r="Q11" i="8"/>
  <c r="E27" i="6"/>
  <c r="E26" i="6"/>
  <c r="Q17" i="8"/>
  <c r="P18" i="8"/>
  <c r="D51" i="2"/>
  <c r="C4" i="2"/>
  <c r="C7" i="2"/>
  <c r="C11" i="9"/>
  <c r="C13" i="9"/>
  <c r="A1" i="13"/>
  <c r="A1" i="14"/>
  <c r="A1" i="10"/>
  <c r="A1" i="11"/>
  <c r="A1" i="12"/>
  <c r="A1" i="2"/>
  <c r="F22" i="6" l="1"/>
  <c r="P17" i="8"/>
  <c r="F16" i="6"/>
  <c r="H19" i="8"/>
  <c r="H25" i="8"/>
  <c r="H24" i="8"/>
  <c r="H23" i="8"/>
  <c r="A2" i="15" l="1"/>
  <c r="A1" i="15"/>
  <c r="E30" i="3"/>
  <c r="D14" i="13" l="1"/>
  <c r="D14" i="10"/>
  <c r="D29" i="11"/>
  <c r="D14" i="11"/>
  <c r="C43" i="12"/>
  <c r="C14" i="12" s="1"/>
  <c r="C23" i="10" l="1"/>
  <c r="C15" i="10"/>
  <c r="C22" i="10"/>
  <c r="C14" i="10"/>
  <c r="C21" i="10"/>
  <c r="C20" i="10"/>
  <c r="C19" i="10"/>
  <c r="C26" i="10"/>
  <c r="C18" i="10"/>
  <c r="C16" i="10"/>
  <c r="C25" i="10"/>
  <c r="C17" i="10"/>
  <c r="C24" i="10"/>
  <c r="C20" i="13"/>
  <c r="C19" i="13"/>
  <c r="C26" i="13"/>
  <c r="C18" i="13"/>
  <c r="C25" i="13"/>
  <c r="C17" i="13"/>
  <c r="C24" i="13"/>
  <c r="C16" i="13"/>
  <c r="C23" i="13"/>
  <c r="C15" i="13"/>
  <c r="C22" i="13"/>
  <c r="C14" i="13"/>
  <c r="C21" i="13"/>
  <c r="D27" i="3"/>
  <c r="D15" i="3"/>
  <c r="D95" i="2"/>
  <c r="D44" i="2"/>
  <c r="D36" i="2"/>
  <c r="D13" i="2" l="1"/>
  <c r="D14" i="2"/>
  <c r="D21" i="2"/>
  <c r="D15" i="2"/>
  <c r="D19" i="2"/>
  <c r="I16" i="5"/>
  <c r="I18" i="5"/>
  <c r="I22" i="5"/>
  <c r="I23" i="5"/>
  <c r="I25" i="5"/>
  <c r="I26" i="5"/>
  <c r="I27" i="5"/>
  <c r="I15" i="5"/>
  <c r="E16" i="5"/>
  <c r="E18" i="5"/>
  <c r="E22" i="5"/>
  <c r="E23" i="5"/>
  <c r="E25" i="5"/>
  <c r="E26" i="5"/>
  <c r="E27" i="5"/>
  <c r="J41" i="14"/>
  <c r="J42" i="14"/>
  <c r="J43" i="14"/>
  <c r="J44" i="14"/>
  <c r="J45" i="14"/>
  <c r="J46" i="14"/>
  <c r="J47" i="14"/>
  <c r="J48" i="14"/>
  <c r="J49" i="14"/>
  <c r="J50" i="14"/>
  <c r="J51" i="14"/>
  <c r="J52" i="14"/>
  <c r="J53" i="14"/>
  <c r="J54" i="14"/>
  <c r="J55" i="14"/>
  <c r="J56" i="14"/>
  <c r="J57" i="14"/>
  <c r="J58" i="14"/>
  <c r="J59" i="14"/>
  <c r="J60" i="14"/>
  <c r="J16" i="14"/>
  <c r="J17" i="14"/>
  <c r="J18" i="14"/>
  <c r="J19" i="14"/>
  <c r="J20" i="14"/>
  <c r="J21" i="14"/>
  <c r="J22" i="14"/>
  <c r="J23" i="14"/>
  <c r="J24" i="14"/>
  <c r="J25" i="14"/>
  <c r="J26" i="14"/>
  <c r="J27" i="14"/>
  <c r="J28" i="14"/>
  <c r="J29" i="14"/>
  <c r="J30" i="14"/>
  <c r="J31" i="14"/>
  <c r="J32" i="14"/>
  <c r="J33" i="14"/>
  <c r="J34" i="14"/>
  <c r="J35" i="14"/>
  <c r="H41" i="14"/>
  <c r="H42" i="14"/>
  <c r="H43" i="14"/>
  <c r="H44" i="14"/>
  <c r="H45" i="14"/>
  <c r="H46" i="14"/>
  <c r="H47" i="14"/>
  <c r="H48" i="14"/>
  <c r="H49" i="14"/>
  <c r="H50" i="14"/>
  <c r="H51" i="14"/>
  <c r="H52" i="14"/>
  <c r="H53" i="14"/>
  <c r="H54" i="14"/>
  <c r="H55" i="14"/>
  <c r="H56" i="14"/>
  <c r="H57" i="14"/>
  <c r="H58" i="14"/>
  <c r="H59" i="14"/>
  <c r="H60" i="14"/>
  <c r="H16" i="14"/>
  <c r="H17" i="14"/>
  <c r="H18" i="14"/>
  <c r="H19" i="14"/>
  <c r="H20" i="14"/>
  <c r="H21" i="14"/>
  <c r="H22" i="14"/>
  <c r="H23" i="14"/>
  <c r="H24" i="14"/>
  <c r="H25" i="14"/>
  <c r="H26" i="14"/>
  <c r="H27" i="14"/>
  <c r="H28" i="14"/>
  <c r="H29" i="14"/>
  <c r="H30" i="14"/>
  <c r="H31" i="14"/>
  <c r="H32" i="14"/>
  <c r="H33" i="14"/>
  <c r="H34" i="14"/>
  <c r="H35" i="14"/>
  <c r="C10" i="14"/>
  <c r="D10" i="14" s="1"/>
  <c r="L16" i="8" s="1"/>
  <c r="C9" i="14"/>
  <c r="D9" i="14" s="1"/>
  <c r="L15" i="8" s="1"/>
  <c r="C5" i="14"/>
  <c r="D5" i="14" s="1"/>
  <c r="L5" i="8" s="1"/>
  <c r="C4" i="14"/>
  <c r="D4" i="14" s="1"/>
  <c r="C6" i="14"/>
  <c r="D6" i="14" s="1"/>
  <c r="L11" i="8" s="1"/>
  <c r="G21" i="8"/>
  <c r="G18" i="8"/>
  <c r="E20" i="2"/>
  <c r="D22" i="2" l="1"/>
  <c r="D16" i="2"/>
  <c r="C36" i="2" s="1"/>
  <c r="D23" i="7"/>
  <c r="L4" i="8"/>
  <c r="D27" i="7" l="1"/>
  <c r="D23" i="2"/>
  <c r="D26" i="2" s="1"/>
  <c r="D28" i="2" s="1"/>
  <c r="D29" i="7"/>
  <c r="C90" i="2"/>
  <c r="C65" i="2"/>
  <c r="C79" i="2"/>
  <c r="C33" i="2"/>
  <c r="C74" i="2"/>
  <c r="C94" i="2"/>
  <c r="C82" i="2"/>
  <c r="C41" i="2"/>
  <c r="C62" i="2"/>
  <c r="C85" i="2"/>
  <c r="C50" i="2"/>
  <c r="C70" i="2"/>
  <c r="C32" i="2"/>
  <c r="C73" i="2"/>
  <c r="C93" i="2"/>
  <c r="C68" i="2"/>
  <c r="C89" i="2"/>
  <c r="C81" i="2"/>
  <c r="C92" i="2"/>
  <c r="C84" i="2"/>
  <c r="C40" i="2"/>
  <c r="C42" i="2"/>
  <c r="C72" i="2"/>
  <c r="C34" i="2"/>
  <c r="C67" i="2"/>
  <c r="C95" i="2"/>
  <c r="C43" i="2"/>
  <c r="C35" i="2"/>
  <c r="C64" i="2"/>
  <c r="C49" i="2"/>
  <c r="C69" i="2"/>
  <c r="C63" i="2"/>
  <c r="C80" i="2"/>
  <c r="C48" i="2"/>
  <c r="C75" i="2"/>
  <c r="C44" i="2"/>
  <c r="C78" i="2"/>
  <c r="C76" i="2"/>
  <c r="C51" i="2"/>
  <c r="C77" i="2"/>
  <c r="C71" i="2"/>
  <c r="C91" i="2"/>
  <c r="C66" i="2"/>
  <c r="C83" i="2"/>
  <c r="D28" i="7"/>
  <c r="D26" i="7"/>
  <c r="D7" i="7"/>
  <c r="E18" i="3"/>
  <c r="E17" i="3"/>
  <c r="C57" i="2" l="1"/>
  <c r="C56" i="2"/>
  <c r="C58" i="2"/>
  <c r="C55" i="2"/>
  <c r="C40" i="14"/>
  <c r="C15" i="14"/>
  <c r="D16" i="3"/>
  <c r="D14" i="3"/>
  <c r="C21" i="12"/>
  <c r="C12" i="12" s="1"/>
  <c r="D24" i="7" l="1"/>
  <c r="D6" i="7"/>
  <c r="D40" i="14"/>
  <c r="D15" i="14"/>
  <c r="C10" i="13"/>
  <c r="D10" i="13" s="1"/>
  <c r="M16" i="8" s="1"/>
  <c r="C9" i="13"/>
  <c r="D9" i="13" s="1"/>
  <c r="M15" i="8" s="1"/>
  <c r="C6" i="13"/>
  <c r="D6" i="13" s="1"/>
  <c r="M11" i="8" s="1"/>
  <c r="C5" i="13"/>
  <c r="D5" i="13" s="1"/>
  <c r="M5" i="8" s="1"/>
  <c r="C4" i="13"/>
  <c r="D4" i="13" s="1"/>
  <c r="C10" i="10"/>
  <c r="D10" i="10" s="1"/>
  <c r="K16" i="8" s="1"/>
  <c r="C9" i="10"/>
  <c r="D9" i="10" s="1"/>
  <c r="K15" i="8" s="1"/>
  <c r="C6" i="10"/>
  <c r="D6" i="10" s="1"/>
  <c r="K11" i="8" s="1"/>
  <c r="C5" i="10"/>
  <c r="D5" i="10" s="1"/>
  <c r="K5" i="8" s="1"/>
  <c r="C4" i="10"/>
  <c r="D4" i="10" s="1"/>
  <c r="C10" i="11"/>
  <c r="D10" i="11" s="1"/>
  <c r="J16" i="8" s="1"/>
  <c r="C9" i="11"/>
  <c r="D9" i="11" s="1"/>
  <c r="J15" i="8" s="1"/>
  <c r="C6" i="11"/>
  <c r="D6" i="11" s="1"/>
  <c r="J11" i="8" s="1"/>
  <c r="C5" i="11"/>
  <c r="D5" i="11" s="1"/>
  <c r="J5" i="8" s="1"/>
  <c r="C4" i="11"/>
  <c r="D4" i="11" s="1"/>
  <c r="C10" i="12"/>
  <c r="D10" i="12" s="1"/>
  <c r="I16" i="8" s="1"/>
  <c r="C9" i="12"/>
  <c r="D9" i="12" s="1"/>
  <c r="I15" i="8" s="1"/>
  <c r="C6" i="12"/>
  <c r="D6" i="12" s="1"/>
  <c r="I11" i="8" s="1"/>
  <c r="C5" i="12"/>
  <c r="D5" i="12" s="1"/>
  <c r="I5" i="8" s="1"/>
  <c r="C4" i="12"/>
  <c r="D4" i="12" s="1"/>
  <c r="C28" i="12"/>
  <c r="C13" i="12" s="1"/>
  <c r="D24" i="3" l="1"/>
  <c r="J40" i="14"/>
  <c r="H40" i="14"/>
  <c r="J15" i="14"/>
  <c r="H15" i="14"/>
  <c r="M4" i="8"/>
  <c r="K4" i="8"/>
  <c r="J4" i="8"/>
  <c r="I4" i="8"/>
  <c r="D23" i="3"/>
  <c r="D25" i="3" s="1"/>
  <c r="D28" i="3" s="1"/>
  <c r="D12" i="14"/>
  <c r="J63" i="14" l="1"/>
  <c r="L17" i="8" s="1"/>
  <c r="C15" i="12"/>
  <c r="D15" i="12" s="1"/>
  <c r="D13" i="3" l="1"/>
  <c r="I17" i="8"/>
  <c r="D13" i="7" l="1"/>
  <c r="D12" i="7"/>
  <c r="E13" i="3"/>
  <c r="H18" i="8"/>
  <c r="D16" i="7"/>
  <c r="C10" i="5" l="1"/>
  <c r="D10" i="5" s="1"/>
  <c r="O16" i="8" s="1"/>
  <c r="C10" i="3"/>
  <c r="D10" i="3" s="1"/>
  <c r="H21" i="8" s="1"/>
  <c r="C10" i="2"/>
  <c r="D10" i="9"/>
  <c r="C9" i="2"/>
  <c r="D10" i="2" l="1"/>
  <c r="G16" i="8" s="1"/>
  <c r="C10" i="15"/>
  <c r="D10" i="15" s="1"/>
  <c r="Q16" i="8" s="1"/>
  <c r="C9" i="6"/>
  <c r="D9" i="6" s="1"/>
  <c r="C9" i="15"/>
  <c r="D9" i="15" s="1"/>
  <c r="Q15" i="8" s="1"/>
  <c r="D9" i="2"/>
  <c r="G15" i="8" s="1"/>
  <c r="F16" i="8"/>
  <c r="C10" i="6"/>
  <c r="P15" i="8" l="1"/>
  <c r="N15" i="8"/>
  <c r="D10" i="6"/>
  <c r="P16" i="8" l="1"/>
  <c r="N16" i="8"/>
  <c r="C12" i="9"/>
  <c r="H17" i="8" l="1"/>
  <c r="C14" i="9" l="1"/>
  <c r="C6" i="2"/>
  <c r="C5" i="2"/>
  <c r="C5" i="15" s="1"/>
  <c r="D5" i="15" s="1"/>
  <c r="C4" i="15"/>
  <c r="D4" i="15" s="1"/>
  <c r="D7" i="9"/>
  <c r="F12" i="8" s="1"/>
  <c r="D6" i="9"/>
  <c r="F11" i="8" s="1"/>
  <c r="D5" i="9"/>
  <c r="F5" i="8" s="1"/>
  <c r="D4" i="9"/>
  <c r="F4" i="8" s="1"/>
  <c r="C7" i="15"/>
  <c r="D7" i="15" s="1"/>
  <c r="Q12" i="8" s="1"/>
  <c r="D8" i="9"/>
  <c r="F13" i="8" s="1"/>
  <c r="Q5" i="8" l="1"/>
  <c r="C9" i="9"/>
  <c r="C8" i="14" s="1"/>
  <c r="D8" i="14" s="1"/>
  <c r="L13" i="8" s="1"/>
  <c r="Q4" i="8"/>
  <c r="C6" i="6"/>
  <c r="C6" i="15"/>
  <c r="D6" i="15" s="1"/>
  <c r="C8" i="11" l="1"/>
  <c r="D8" i="11" s="1"/>
  <c r="J13" i="8" s="1"/>
  <c r="D9" i="9"/>
  <c r="E1" i="9" s="1"/>
  <c r="C8" i="2"/>
  <c r="C8" i="15" s="1"/>
  <c r="D8" i="15" s="1"/>
  <c r="E1" i="15" s="1"/>
  <c r="C8" i="13"/>
  <c r="D8" i="13" s="1"/>
  <c r="M13" i="8" s="1"/>
  <c r="C8" i="10"/>
  <c r="D8" i="10" s="1"/>
  <c r="K13" i="8" s="1"/>
  <c r="C8" i="12"/>
  <c r="D8" i="12" s="1"/>
  <c r="I13" i="8" s="1"/>
  <c r="B17" i="1"/>
  <c r="C15" i="8"/>
  <c r="D4" i="2"/>
  <c r="B15" i="8"/>
  <c r="A2" i="6"/>
  <c r="A2" i="5"/>
  <c r="A2" i="3"/>
  <c r="A1" i="6"/>
  <c r="A1" i="5"/>
  <c r="A1" i="3"/>
  <c r="F15" i="8" l="1"/>
  <c r="C3" i="8" s="1"/>
  <c r="Q13" i="8"/>
  <c r="F1" i="15"/>
  <c r="B14" i="8"/>
  <c r="G4" i="8"/>
  <c r="C8" i="6"/>
  <c r="C7" i="6"/>
  <c r="C5" i="6"/>
  <c r="C4" i="6"/>
  <c r="C8" i="5"/>
  <c r="C7" i="5"/>
  <c r="C6" i="5"/>
  <c r="C5" i="5"/>
  <c r="C4" i="5"/>
  <c r="C8" i="3"/>
  <c r="C7" i="3"/>
  <c r="C6" i="3"/>
  <c r="D6" i="3" s="1"/>
  <c r="H11" i="8" s="1"/>
  <c r="C5" i="3"/>
  <c r="D5" i="3" s="1"/>
  <c r="H5" i="8" s="1"/>
  <c r="C4" i="3"/>
  <c r="D4" i="3" s="1"/>
  <c r="D7" i="3" l="1"/>
  <c r="H12" i="8" s="1"/>
  <c r="C7" i="12"/>
  <c r="H4" i="8"/>
  <c r="B14" i="1"/>
  <c r="C9" i="5"/>
  <c r="D9" i="5" s="1"/>
  <c r="O15" i="8" s="1"/>
  <c r="D8" i="2"/>
  <c r="D7" i="2"/>
  <c r="D6" i="2"/>
  <c r="G11" i="8" s="1"/>
  <c r="D5" i="2"/>
  <c r="F1" i="2" l="1"/>
  <c r="E1" i="2"/>
  <c r="B4" i="8" s="1"/>
  <c r="C7" i="11"/>
  <c r="D7" i="12"/>
  <c r="G13" i="8"/>
  <c r="G5" i="8"/>
  <c r="G12" i="8"/>
  <c r="C4" i="8" l="1"/>
  <c r="C7" i="10"/>
  <c r="D7" i="11"/>
  <c r="I12" i="8"/>
  <c r="C6" i="8" s="1"/>
  <c r="E1" i="12"/>
  <c r="B6" i="8" s="1"/>
  <c r="F1" i="12"/>
  <c r="D8" i="6"/>
  <c r="N13" i="8" s="1"/>
  <c r="D7" i="6"/>
  <c r="D6" i="6"/>
  <c r="P11" i="8" s="1"/>
  <c r="D5" i="6"/>
  <c r="D4" i="6"/>
  <c r="N4" i="8" s="1"/>
  <c r="D8" i="5"/>
  <c r="D7" i="5"/>
  <c r="O12" i="8" s="1"/>
  <c r="D6" i="5"/>
  <c r="O11" i="8" s="1"/>
  <c r="D5" i="5"/>
  <c r="O5" i="8" s="1"/>
  <c r="D4" i="5"/>
  <c r="C9" i="3"/>
  <c r="D9" i="3" s="1"/>
  <c r="H15" i="8" s="1"/>
  <c r="D8" i="3"/>
  <c r="P12" i="8" l="1"/>
  <c r="N12" i="8"/>
  <c r="P5" i="8"/>
  <c r="N5" i="8"/>
  <c r="E1" i="5"/>
  <c r="B12" i="8" s="1"/>
  <c r="E1" i="6"/>
  <c r="B13" i="8" s="1"/>
  <c r="F1" i="6"/>
  <c r="J12" i="8"/>
  <c r="C7" i="8" s="1"/>
  <c r="E1" i="11"/>
  <c r="B7" i="8" s="1"/>
  <c r="F1" i="11"/>
  <c r="F1" i="5"/>
  <c r="C7" i="14"/>
  <c r="D7" i="14" s="1"/>
  <c r="C7" i="13"/>
  <c r="D7" i="13" s="1"/>
  <c r="D7" i="10"/>
  <c r="H13" i="8"/>
  <c r="O4" i="8"/>
  <c r="P4" i="8"/>
  <c r="O13" i="8"/>
  <c r="P13" i="8"/>
  <c r="D19" i="3"/>
  <c r="D20" i="3" l="1"/>
  <c r="C12" i="8"/>
  <c r="C13" i="8"/>
  <c r="M12" i="8"/>
  <c r="C10" i="8" s="1"/>
  <c r="E1" i="13"/>
  <c r="B10" i="8" s="1"/>
  <c r="F1" i="13"/>
  <c r="K12" i="8"/>
  <c r="C8" i="8" s="1"/>
  <c r="E1" i="10"/>
  <c r="B8" i="8" s="1"/>
  <c r="F1" i="10"/>
  <c r="L12" i="8"/>
  <c r="C9" i="8" s="1"/>
  <c r="E1" i="14"/>
  <c r="B9" i="8" s="1"/>
  <c r="F1" i="14"/>
  <c r="D11" i="7" l="1"/>
  <c r="D19" i="7"/>
  <c r="D15" i="7"/>
  <c r="D10" i="7"/>
  <c r="D8" i="7"/>
  <c r="D33" i="3"/>
  <c r="D35" i="3" l="1"/>
  <c r="D36" i="3" s="1"/>
  <c r="B3" i="8"/>
  <c r="F1" i="9"/>
  <c r="D5" i="7" l="1"/>
  <c r="D22" i="7"/>
  <c r="D14" i="7"/>
  <c r="E1" i="3"/>
  <c r="F1" i="3"/>
  <c r="B5" i="8" l="1"/>
  <c r="D20" i="7"/>
  <c r="E36" i="3"/>
  <c r="H16" i="8"/>
  <c r="C5" i="8" s="1"/>
  <c r="D18" i="7"/>
  <c r="D4" i="7"/>
  <c r="F12" i="15" l="1"/>
  <c r="C14" i="8"/>
</calcChain>
</file>

<file path=xl/sharedStrings.xml><?xml version="1.0" encoding="utf-8"?>
<sst xmlns="http://schemas.openxmlformats.org/spreadsheetml/2006/main" count="724" uniqueCount="474">
  <si>
    <t>NOTES:</t>
  </si>
  <si>
    <t>Version</t>
  </si>
  <si>
    <t>Date of version</t>
  </si>
  <si>
    <r>
      <rPr>
        <b/>
        <i/>
        <sz val="11"/>
        <color theme="1"/>
        <rFont val="Calibri"/>
        <family val="2"/>
        <scheme val="minor"/>
      </rPr>
      <t xml:space="preserve">Report file name: </t>
    </r>
    <r>
      <rPr>
        <i/>
        <sz val="11"/>
        <color theme="1"/>
        <rFont val="Calibri"/>
        <family val="2"/>
        <scheme val="minor"/>
      </rPr>
      <t>Please replace the MMM-YYYY_XXXXXXX in the report filename (MLAG-MRT_V1_MMM-YYYY_XXXX) with first 3 letters of the month of the reporting date, the year and last 7 characters of the member's MLAG ID. E.g. MLAG-MRT_Dec-2014_0000001</t>
    </r>
  </si>
  <si>
    <r>
      <rPr>
        <b/>
        <i/>
        <sz val="11"/>
        <color theme="1"/>
        <rFont val="Calibri"/>
        <family val="2"/>
        <scheme val="minor"/>
      </rPr>
      <t>Reporting Period:</t>
    </r>
    <r>
      <rPr>
        <i/>
        <sz val="11"/>
        <color theme="1"/>
        <rFont val="Calibri"/>
        <family val="2"/>
        <scheme val="minor"/>
      </rPr>
      <t xml:space="preserve"> enter  </t>
    </r>
    <r>
      <rPr>
        <b/>
        <i/>
        <sz val="11"/>
        <color theme="1"/>
        <rFont val="Calibri"/>
        <family val="2"/>
        <scheme val="minor"/>
      </rPr>
      <t xml:space="preserve">the months  </t>
    </r>
    <r>
      <rPr>
        <i/>
        <sz val="11"/>
        <color theme="1"/>
        <rFont val="Calibri"/>
        <family val="2"/>
        <scheme val="minor"/>
      </rPr>
      <t>and</t>
    </r>
    <r>
      <rPr>
        <b/>
        <i/>
        <sz val="11"/>
        <color theme="1"/>
        <rFont val="Calibri"/>
        <family val="2"/>
        <scheme val="minor"/>
      </rPr>
      <t xml:space="preserve"> year </t>
    </r>
    <r>
      <rPr>
        <i/>
        <sz val="11"/>
        <color theme="1"/>
        <rFont val="Calibri"/>
        <family val="2"/>
        <scheme val="minor"/>
      </rPr>
      <t>covered in the reporting period</t>
    </r>
    <r>
      <rPr>
        <b/>
        <i/>
        <sz val="11"/>
        <color theme="1"/>
        <rFont val="Calibri"/>
        <family val="2"/>
        <scheme val="minor"/>
      </rPr>
      <t xml:space="preserve">   (e.g October -December, 2015 </t>
    </r>
    <r>
      <rPr>
        <i/>
        <sz val="11"/>
        <color theme="1"/>
        <rFont val="Calibri"/>
        <family val="2"/>
        <scheme val="minor"/>
      </rPr>
      <t xml:space="preserve">for the October to December 2015 quarter </t>
    </r>
    <r>
      <rPr>
        <b/>
        <i/>
        <sz val="11"/>
        <color theme="1"/>
        <rFont val="Calibri"/>
        <family val="2"/>
        <scheme val="minor"/>
      </rPr>
      <t>)</t>
    </r>
  </si>
  <si>
    <t>The 'Regional Breakdown' sheet should be completed before the 'Portfolio Report' sheet and the 'Outreach &amp; Social Performance' sheet so that data entered in the former will automatically populate relevant sections of the latter.</t>
  </si>
  <si>
    <r>
      <rPr>
        <b/>
        <i/>
        <sz val="11"/>
        <color rgb="FFFF0000"/>
        <rFont val="Calibri"/>
        <family val="2"/>
        <scheme val="minor"/>
      </rPr>
      <t>"Error"</t>
    </r>
    <r>
      <rPr>
        <i/>
        <sz val="11"/>
        <color theme="1"/>
        <rFont val="Calibri"/>
        <family val="2"/>
        <scheme val="minor"/>
      </rPr>
      <t xml:space="preserve"> at the top of the Balance Sheet indicates that the Total Assets are not equal to Total Liabilities and Capital and there is need for checking and correction before submission.</t>
    </r>
  </si>
  <si>
    <t>Loan "Impairment Loss Allowance" (Loan loss reserves) in the Balnace Sheet (line 2.5) is linked to the Portfolio Report (line 3.15) - Total Actual Provisions made. Please input the actual loan loss provisions as at the reporting date in that section of the Portfolio Report and it will automatically reflect in the Balance sheet.</t>
  </si>
  <si>
    <t>MEMBERS REPORTING TEMPLATE</t>
  </si>
  <si>
    <t xml:space="preserve">MEMBER NAME: </t>
  </si>
  <si>
    <t>MEMBER CODE:</t>
  </si>
  <si>
    <t>RETURN CODE:</t>
  </si>
  <si>
    <t>REPORTING PERIOD</t>
  </si>
  <si>
    <t>REPORTING DATE</t>
  </si>
  <si>
    <t>YEAR</t>
  </si>
  <si>
    <t>1.0.</t>
  </si>
  <si>
    <t xml:space="preserve"> INCOME STATEMENT</t>
  </si>
  <si>
    <t>Data for the reporting quarter</t>
  </si>
  <si>
    <t>Indicator</t>
  </si>
  <si>
    <t>Explanation (Definition of Indicator)</t>
  </si>
  <si>
    <t>GHS</t>
  </si>
  <si>
    <t>1.1</t>
  </si>
  <si>
    <t>1.2</t>
  </si>
  <si>
    <t>1.3</t>
  </si>
  <si>
    <t xml:space="preserve">Interest from  Investments </t>
  </si>
  <si>
    <t>1.4</t>
  </si>
  <si>
    <t>Total Operating Revenue</t>
  </si>
  <si>
    <t>Operating Expense</t>
  </si>
  <si>
    <t>Personnel Expense</t>
  </si>
  <si>
    <t>Includes staff salaries, bonuses, and benefits, as well as employment taxes. It also includes the cost of employee recruitment and initial orientation. This excludes staff training cost.</t>
  </si>
  <si>
    <t>Depreciation and Amortization Expense</t>
  </si>
  <si>
    <t xml:space="preserve">The non-cash expense that allocates the purchase cost of an MFI's fixed assets over their useful economic life. Amortization is used for other tangible assets, such as software.   </t>
  </si>
  <si>
    <t>Other Administrative Expense</t>
  </si>
  <si>
    <t>Total Operating Expense</t>
  </si>
  <si>
    <t>Net Operating Income</t>
  </si>
  <si>
    <t>Non-Operating Revenue</t>
  </si>
  <si>
    <t xml:space="preserve">Non- operating expense </t>
  </si>
  <si>
    <t>Total Income Before Tax</t>
  </si>
  <si>
    <t>Tax</t>
  </si>
  <si>
    <t>Tax on profit</t>
  </si>
  <si>
    <t>Net Income After Tax</t>
  </si>
  <si>
    <t>2.0</t>
  </si>
  <si>
    <t xml:space="preserve">BALANCE SHEET </t>
  </si>
  <si>
    <t>Assets</t>
  </si>
  <si>
    <t>2.1</t>
  </si>
  <si>
    <t>Cash on hand and Due from Bank</t>
  </si>
  <si>
    <t>2.3</t>
  </si>
  <si>
    <t>2.7</t>
  </si>
  <si>
    <t>Accounts Receivable and other Assets</t>
  </si>
  <si>
    <t>Accounts receivable, notes receivables, and other receivables, net of any allowances for doubtful or uncollectible accounts. This includes all receivables other than client loan accounts, including interest receivable on non-funding liabilities such as mortgages.</t>
  </si>
  <si>
    <t>2.8</t>
  </si>
  <si>
    <t>Long term Investments</t>
  </si>
  <si>
    <t xml:space="preserve">Include investments that have a fixed maturity or payments that the MFI intents to hold to maturity. This item may include bonds or shares that the MFI plans to hold for 12 months or more or other financial assets available for sale but not considered loans, receivables, or Trade Investments. </t>
  </si>
  <si>
    <t>2.9</t>
  </si>
  <si>
    <t>Fixed Assets</t>
  </si>
  <si>
    <t>The cost or value of all physical property and property improvements, furniture, and equipment that the MFI currently uses.</t>
  </si>
  <si>
    <t>2.10</t>
  </si>
  <si>
    <t>Accumulated Depreciation and Amortization(this figure should be negative)</t>
  </si>
  <si>
    <r>
      <t xml:space="preserve">The sum of all depreciation expenses for Fixed Assets and the amortization of other tangible assets that have not yet been retired and removed from the balance sheet. Accumulated depreciation represents the reduction in value of Fixed Assets corresponding to the assets' remaining useful life. </t>
    </r>
    <r>
      <rPr>
        <i/>
        <sz val="11"/>
        <color rgb="FFFF0000"/>
        <rFont val="Times New Roman"/>
        <family val="1"/>
      </rPr>
      <t xml:space="preserve">This contra asset account is expressed as a negative number. </t>
    </r>
  </si>
  <si>
    <t>2.11</t>
  </si>
  <si>
    <t>Net Fixed Assets</t>
  </si>
  <si>
    <t>Gross fixed assets less accumulated depreciation</t>
  </si>
  <si>
    <t>2.12</t>
  </si>
  <si>
    <t>Total Assets</t>
  </si>
  <si>
    <t>Liabilities</t>
  </si>
  <si>
    <t>2.13</t>
  </si>
  <si>
    <t>2.14</t>
  </si>
  <si>
    <t>Short term Borrowing</t>
  </si>
  <si>
    <t>2.15</t>
  </si>
  <si>
    <t>Long term borrowing</t>
  </si>
  <si>
    <t>2.16</t>
  </si>
  <si>
    <t>Total Borrowing</t>
  </si>
  <si>
    <t>Accounts Payable &amp; Other Short-term Liabilities</t>
  </si>
  <si>
    <t>Total Liabilities</t>
  </si>
  <si>
    <t>Equity</t>
  </si>
  <si>
    <t>Paid-up Capital/Contributed Capital</t>
  </si>
  <si>
    <t>The total value of Net Income (After Taxes and Before Donations) from prior periods, net of any dividends paid to shareholders or members.</t>
  </si>
  <si>
    <t>The total value of Net Income (After Taxes and Before Donations) from current period</t>
  </si>
  <si>
    <t>Other Reserves</t>
  </si>
  <si>
    <t>Any other reserves set aside for special purposes</t>
  </si>
  <si>
    <t>Total Equity</t>
  </si>
  <si>
    <t>Total Liabilities &amp; Equity</t>
  </si>
  <si>
    <t>VALUE (GHS)</t>
  </si>
  <si>
    <t>Others</t>
  </si>
  <si>
    <t>5.0</t>
  </si>
  <si>
    <t>OUTREACH &amp; SOCIAL PERFORMANCE DATA</t>
  </si>
  <si>
    <t>5.1</t>
  </si>
  <si>
    <t>5.2</t>
  </si>
  <si>
    <t>Number of Personnel (Staff)</t>
  </si>
  <si>
    <t>Number of new staff recruited during the period</t>
  </si>
  <si>
    <t>Number of staff who resigned during the period</t>
  </si>
  <si>
    <t>Number of Staff in Management position</t>
  </si>
  <si>
    <t>Number of management meetings held during the period</t>
  </si>
  <si>
    <t xml:space="preserve">PARAMETERS/ INDICATORS </t>
  </si>
  <si>
    <t>DESCRIPTION</t>
  </si>
  <si>
    <t>TOTAL</t>
  </si>
  <si>
    <t>1.0</t>
  </si>
  <si>
    <t>DEFINITION</t>
  </si>
  <si>
    <r>
      <t>OUTREACH &amp; SOCIAL PERFORMANCE DATA</t>
    </r>
    <r>
      <rPr>
        <b/>
        <sz val="12"/>
        <color indexed="8"/>
        <rFont val="Times New Roman"/>
        <family val="1"/>
      </rPr>
      <t> </t>
    </r>
  </si>
  <si>
    <t xml:space="preserve">Total Number of Clients </t>
  </si>
  <si>
    <t>Total Number of female clients</t>
  </si>
  <si>
    <t>NO.</t>
  </si>
  <si>
    <t xml:space="preserve">PARAMETER/ INDICATOR </t>
  </si>
  <si>
    <t>Definition/ formula for the ratio</t>
  </si>
  <si>
    <t>Calculated Ratios</t>
  </si>
  <si>
    <t>PROFITABILITY &amp; SUSTAINABILITY</t>
  </si>
  <si>
    <t>Return on Assets</t>
  </si>
  <si>
    <t>Return on Equity</t>
  </si>
  <si>
    <t>Operational Sustainability (OSS) expressed as percentage</t>
  </si>
  <si>
    <t>Net Profit Margin</t>
  </si>
  <si>
    <t xml:space="preserve">Net income after tax
Total Revenue </t>
  </si>
  <si>
    <t>FS1</t>
  </si>
  <si>
    <t>Total Asset</t>
  </si>
  <si>
    <t>FS2</t>
  </si>
  <si>
    <t>Capital to Assets Ratio</t>
  </si>
  <si>
    <t>FS4</t>
  </si>
  <si>
    <t>Debt to Equity Ratio</t>
  </si>
  <si>
    <t>FS6</t>
  </si>
  <si>
    <t>FS8</t>
  </si>
  <si>
    <t xml:space="preserve">Yield on Investments </t>
  </si>
  <si>
    <t>FS11</t>
  </si>
  <si>
    <t>Liquid Ratio</t>
  </si>
  <si>
    <t xml:space="preserve">EFFICIENCY </t>
  </si>
  <si>
    <t>E1</t>
  </si>
  <si>
    <t>Operating Expenses Ratio</t>
  </si>
  <si>
    <t>E2</t>
  </si>
  <si>
    <t>Personnel Expense Ratio</t>
  </si>
  <si>
    <t>E3</t>
  </si>
  <si>
    <t xml:space="preserve">Administrative Expense Ratio </t>
  </si>
  <si>
    <t>E4</t>
  </si>
  <si>
    <t>Cost Income Ratio</t>
  </si>
  <si>
    <t>PRODUCTIVITY</t>
  </si>
  <si>
    <t>P1</t>
  </si>
  <si>
    <t>P2</t>
  </si>
  <si>
    <r>
      <t>Please select 'Report Code' from the drop down list in the first ('P&amp;L') sheet and they will be populated on the other sheets. Report Code</t>
    </r>
    <r>
      <rPr>
        <b/>
        <i/>
        <sz val="11"/>
        <color theme="1"/>
        <rFont val="Calibri"/>
        <family val="2"/>
        <scheme val="minor"/>
      </rPr>
      <t xml:space="preserve">'MLAG-PR-UA' </t>
    </r>
    <r>
      <rPr>
        <sz val="11"/>
        <color theme="1"/>
        <rFont val="Calibri"/>
        <family val="2"/>
        <scheme val="minor"/>
      </rPr>
      <t>is to be selected for unaudited (UA) performance report (PR), which are currently expected to have quarterly reporting frequency. Report code '</t>
    </r>
    <r>
      <rPr>
        <b/>
        <i/>
        <sz val="11"/>
        <color theme="1"/>
        <rFont val="Calibri"/>
        <family val="2"/>
        <scheme val="minor"/>
      </rPr>
      <t xml:space="preserve">MLAG-PR-A' </t>
    </r>
    <r>
      <rPr>
        <sz val="11"/>
        <color theme="1"/>
        <rFont val="Calibri"/>
        <family val="2"/>
        <scheme val="minor"/>
      </rPr>
      <t>is for reports that are based on audited figures and these are expected to be submitted annually. 
Also, please provide the other head information on the first ('P&amp;L') sheet and they will be populated on the other sheets.</t>
    </r>
  </si>
  <si>
    <r>
      <rPr>
        <b/>
        <i/>
        <sz val="11"/>
        <color theme="1"/>
        <rFont val="Calibri"/>
        <family val="2"/>
        <scheme val="minor"/>
      </rPr>
      <t>Reporting date</t>
    </r>
    <r>
      <rPr>
        <i/>
        <sz val="11"/>
        <color theme="1"/>
        <rFont val="Calibri"/>
        <family val="2"/>
        <scheme val="minor"/>
      </rPr>
      <t xml:space="preserve">: enter as </t>
    </r>
    <r>
      <rPr>
        <b/>
        <i/>
        <sz val="11"/>
        <color theme="1"/>
        <rFont val="Calibri"/>
        <family val="2"/>
        <scheme val="minor"/>
      </rPr>
      <t xml:space="preserve">Month and year </t>
    </r>
    <r>
      <rPr>
        <i/>
        <sz val="11"/>
        <color theme="1"/>
        <rFont val="Calibri"/>
        <family val="2"/>
        <scheme val="minor"/>
      </rPr>
      <t>ending</t>
    </r>
    <r>
      <rPr>
        <b/>
        <i/>
        <sz val="11"/>
        <color theme="1"/>
        <rFont val="Calibri"/>
        <family val="2"/>
        <scheme val="minor"/>
      </rPr>
      <t xml:space="preserve"> the reporting period (e.g 12/2014  </t>
    </r>
    <r>
      <rPr>
        <i/>
        <sz val="11"/>
        <color theme="1"/>
        <rFont val="Calibri"/>
        <family val="2"/>
        <scheme val="minor"/>
      </rPr>
      <t>for quarter ending</t>
    </r>
    <r>
      <rPr>
        <b/>
        <i/>
        <sz val="11"/>
        <color theme="1"/>
        <rFont val="Calibri"/>
        <family val="2"/>
        <scheme val="minor"/>
      </rPr>
      <t xml:space="preserve"> December 2014)</t>
    </r>
  </si>
  <si>
    <t>Error Count Dashboard</t>
  </si>
  <si>
    <t>Profit &amp; Loss Statement</t>
  </si>
  <si>
    <t>Balance Sheet</t>
  </si>
  <si>
    <t>Portfolio Report</t>
  </si>
  <si>
    <t>Outreach &amp; Social Performance</t>
  </si>
  <si>
    <t>Ratios</t>
  </si>
  <si>
    <r>
      <t xml:space="preserve">Gross Loan Portfolio  in the Balance Sheet must be equal to the Gross Loans Outstanding in the Portfolio Report, otherwise </t>
    </r>
    <r>
      <rPr>
        <b/>
        <i/>
        <sz val="11"/>
        <color rgb="FFFF0000"/>
        <rFont val="Calibri"/>
        <family val="2"/>
        <scheme val="minor"/>
      </rPr>
      <t>"Error"</t>
    </r>
    <r>
      <rPr>
        <i/>
        <sz val="11"/>
        <color theme="1"/>
        <rFont val="Calibri"/>
        <family val="2"/>
        <scheme val="minor"/>
      </rPr>
      <t xml:space="preserve"> is indicated and correction is required.</t>
    </r>
  </si>
  <si>
    <t>NOTES</t>
  </si>
  <si>
    <t>The above shows the total number of errors in your quarterly prudential report.</t>
  </si>
  <si>
    <t>The total number of Errors next to each line item should be zero (0)</t>
  </si>
  <si>
    <t>Please ensure you submit the return to the Association only when number of errors is 0, otherwise it will be rejected by the system</t>
  </si>
  <si>
    <t>Error Description</t>
  </si>
  <si>
    <t>Unique Code for File</t>
  </si>
  <si>
    <t>Version Number</t>
  </si>
  <si>
    <t>Doc Version</t>
  </si>
  <si>
    <t>Details about Staff</t>
  </si>
  <si>
    <t>Details about Management Staff</t>
  </si>
  <si>
    <t>Year</t>
  </si>
  <si>
    <t>Cover Sheet</t>
  </si>
  <si>
    <t>Drawings</t>
  </si>
  <si>
    <t>REGION</t>
  </si>
  <si>
    <t>Ahafo-AF</t>
  </si>
  <si>
    <t>Bono-BN</t>
  </si>
  <si>
    <t>Bono East-BE</t>
  </si>
  <si>
    <t>Central-CR</t>
  </si>
  <si>
    <t>Eastern-ER</t>
  </si>
  <si>
    <t>Greater Accra-GA</t>
  </si>
  <si>
    <t>North East-NE</t>
  </si>
  <si>
    <t>Northern-NR</t>
  </si>
  <si>
    <t>Oti-OT</t>
  </si>
  <si>
    <t>Savannah-SV</t>
  </si>
  <si>
    <t>Upper East-UE</t>
  </si>
  <si>
    <t>Upper West-UW</t>
  </si>
  <si>
    <t>Volta-VR</t>
  </si>
  <si>
    <t>Western-WR</t>
  </si>
  <si>
    <t>Western North-WN</t>
  </si>
  <si>
    <t>ALL REGIONS</t>
  </si>
  <si>
    <t>Ashanti-AS</t>
  </si>
  <si>
    <t>Number of Advisory committee members</t>
  </si>
  <si>
    <t>Number of Advisory committee meetings held during the period</t>
  </si>
  <si>
    <t>Income Surplus (Prior Period)</t>
  </si>
  <si>
    <t>Current Period P&amp; L</t>
  </si>
  <si>
    <t>No.</t>
  </si>
  <si>
    <t>Amount (GHS)</t>
  </si>
  <si>
    <t>Total</t>
  </si>
  <si>
    <t>A</t>
  </si>
  <si>
    <t>B</t>
  </si>
  <si>
    <t>Electronic Cash</t>
  </si>
  <si>
    <t xml:space="preserve">Others </t>
  </si>
  <si>
    <t>Grand Total</t>
  </si>
  <si>
    <t>Detail</t>
  </si>
  <si>
    <t>% To Total</t>
  </si>
  <si>
    <t>SSNIT TIER ONE</t>
  </si>
  <si>
    <t>SECOND TIER</t>
  </si>
  <si>
    <t>PAYE</t>
  </si>
  <si>
    <t>STAFF SALARY OUTSTANDING</t>
  </si>
  <si>
    <t>STAFF WELFARE</t>
  </si>
  <si>
    <t>INCOME TAX_PROVISION</t>
  </si>
  <si>
    <t>WITHOLDING TAX</t>
  </si>
  <si>
    <t>Item No.</t>
  </si>
  <si>
    <t>Name of Institution</t>
  </si>
  <si>
    <t>Agreement Date</t>
  </si>
  <si>
    <t>Expiry Date</t>
  </si>
  <si>
    <t>Interest Rate (p. a.)</t>
  </si>
  <si>
    <t>Sub-Total A</t>
  </si>
  <si>
    <t>Sub-Total B</t>
  </si>
  <si>
    <t>Liquid Assets to Total Assets</t>
  </si>
  <si>
    <t>PPE to Total Assets</t>
  </si>
  <si>
    <t>Borrowings to Total Assets</t>
  </si>
  <si>
    <t>LIQUIDITY</t>
  </si>
  <si>
    <t>MTN MoMo</t>
  </si>
  <si>
    <t>Vodafone/Telecel Cash</t>
  </si>
  <si>
    <t xml:space="preserve">Cash on Hand </t>
  </si>
  <si>
    <t xml:space="preserve"> Cash</t>
  </si>
  <si>
    <t>Vault</t>
  </si>
  <si>
    <t>Petty Cash</t>
  </si>
  <si>
    <t>Name of Bank/Financial Institution</t>
  </si>
  <si>
    <t>Account Type</t>
  </si>
  <si>
    <t>Balances with Banks/Financial Institutions</t>
  </si>
  <si>
    <t>Investment Type</t>
  </si>
  <si>
    <t>Placement Date</t>
  </si>
  <si>
    <t>Maturity Date</t>
  </si>
  <si>
    <t>Short Term Borrowings</t>
  </si>
  <si>
    <t>Long Term Borrowings</t>
  </si>
  <si>
    <t>Short Term Investment</t>
  </si>
  <si>
    <t>Long Term Investment</t>
  </si>
  <si>
    <t>RENT PREPAID</t>
  </si>
  <si>
    <t xml:space="preserve">INSURANCE PREPAID </t>
  </si>
  <si>
    <t>Name of Institution/Person</t>
  </si>
  <si>
    <t>Borrowed Amount (GHS)</t>
  </si>
  <si>
    <t>Legal Fees</t>
  </si>
  <si>
    <t>Repairs and Maintenance</t>
  </si>
  <si>
    <t>Insurance</t>
  </si>
  <si>
    <t>Anniversary Expenses</t>
  </si>
  <si>
    <t>Donation and Charitable Contributions</t>
  </si>
  <si>
    <t>Staff Training and Development</t>
  </si>
  <si>
    <t>Salaries, Wages and Allowances</t>
  </si>
  <si>
    <t>Medical Expenses</t>
  </si>
  <si>
    <t>Directors Remuneration</t>
  </si>
  <si>
    <t>Cleaning &amp; Sanitation</t>
  </si>
  <si>
    <t>Security Expenses</t>
  </si>
  <si>
    <t>Bank Charges</t>
  </si>
  <si>
    <t xml:space="preserve">% OF TOTAL 
INCOME </t>
  </si>
  <si>
    <t xml:space="preserve"> (CURRENT PERIOD - GHS)</t>
  </si>
  <si>
    <t xml:space="preserve"> </t>
  </si>
  <si>
    <t>ANNEXURE B -  INTEREST REVENUE ON INVESTMENTS (DEPOSIT/PLACEMENTS)</t>
  </si>
  <si>
    <t>Borrowings</t>
  </si>
  <si>
    <t>ANNEXURE D - OTHER OPERATING INCOME</t>
  </si>
  <si>
    <t>Customer Name</t>
  </si>
  <si>
    <t>Account Status</t>
  </si>
  <si>
    <t>C</t>
  </si>
  <si>
    <t>Line (1.1+1.2+1.3)</t>
  </si>
  <si>
    <t>Cash and Bank Notes</t>
  </si>
  <si>
    <t>Investment Details</t>
  </si>
  <si>
    <t>Acc Receivables &amp; Other Assets</t>
  </si>
  <si>
    <t>Other Liabilities</t>
  </si>
  <si>
    <t>Top Largest Exposure</t>
  </si>
  <si>
    <t>SSNIT &amp; Tier 2</t>
  </si>
  <si>
    <t xml:space="preserve"> Meeting Expenses</t>
  </si>
  <si>
    <t>Provident Fund/Tier 3</t>
  </si>
  <si>
    <t>Banks/Financial Institutions</t>
  </si>
  <si>
    <t>Short Term Investments</t>
  </si>
  <si>
    <t>Breakdown</t>
  </si>
  <si>
    <t>GRAND TOTAL (A + B)</t>
  </si>
  <si>
    <t>Principal Balance Outstanding (GHS)</t>
  </si>
  <si>
    <r>
      <rPr>
        <u/>
        <sz val="11"/>
        <rFont val="Calibri Light"/>
        <family val="2"/>
        <scheme val="major"/>
      </rPr>
      <t>Net Operating income after taxes</t>
    </r>
    <r>
      <rPr>
        <sz val="11"/>
        <rFont val="Calibri Light"/>
        <family val="2"/>
        <scheme val="major"/>
      </rPr>
      <t xml:space="preserve">
Total Assets
</t>
    </r>
  </si>
  <si>
    <r>
      <rPr>
        <u/>
        <sz val="11"/>
        <rFont val="Calibri Light"/>
        <family val="2"/>
        <scheme val="major"/>
      </rPr>
      <t>Net Operating income after taxes</t>
    </r>
    <r>
      <rPr>
        <sz val="11"/>
        <rFont val="Calibri Light"/>
        <family val="2"/>
        <scheme val="major"/>
      </rPr>
      <t xml:space="preserve">
Total Equity
</t>
    </r>
  </si>
  <si>
    <r>
      <rPr>
        <u/>
        <sz val="11"/>
        <rFont val="Calibri Light"/>
        <family val="2"/>
        <scheme val="major"/>
      </rPr>
      <t>Cash and Due from Bank Short term+Long term Investment</t>
    </r>
    <r>
      <rPr>
        <sz val="11"/>
        <rFont val="Calibri Light"/>
        <family val="2"/>
        <scheme val="major"/>
      </rPr>
      <t xml:space="preserve">
Total Assets
</t>
    </r>
  </si>
  <si>
    <r>
      <rPr>
        <u/>
        <sz val="11"/>
        <rFont val="Calibri Light"/>
        <family val="2"/>
        <scheme val="major"/>
      </rPr>
      <t>Total Borrowings</t>
    </r>
    <r>
      <rPr>
        <sz val="11"/>
        <rFont val="Calibri Light"/>
        <family val="2"/>
        <scheme val="major"/>
      </rPr>
      <t xml:space="preserve">
Total Assets
</t>
    </r>
  </si>
  <si>
    <r>
      <t>ASSETS/ LIABILITY MANAGEMENT &amp; FINANCIAL</t>
    </r>
    <r>
      <rPr>
        <b/>
        <u/>
        <sz val="11"/>
        <rFont val="Calibri Light"/>
        <family val="2"/>
        <scheme val="major"/>
      </rPr>
      <t xml:space="preserve"> </t>
    </r>
    <r>
      <rPr>
        <b/>
        <sz val="11"/>
        <rFont val="Calibri Light"/>
        <family val="2"/>
        <scheme val="major"/>
      </rPr>
      <t>STRUCTURE</t>
    </r>
    <r>
      <rPr>
        <b/>
        <u/>
        <sz val="11"/>
        <rFont val="Calibri Light"/>
        <family val="2"/>
        <scheme val="major"/>
      </rPr>
      <t xml:space="preserve"> </t>
    </r>
  </si>
  <si>
    <r>
      <rPr>
        <u/>
        <sz val="11"/>
        <rFont val="Calibri Light"/>
        <family val="2"/>
        <scheme val="major"/>
      </rPr>
      <t xml:space="preserve"> Total Equity
</t>
    </r>
    <r>
      <rPr>
        <sz val="11"/>
        <rFont val="Calibri Light"/>
        <family val="2"/>
        <scheme val="major"/>
      </rPr>
      <t>Total Assets</t>
    </r>
  </si>
  <si>
    <r>
      <rPr>
        <u/>
        <sz val="11"/>
        <rFont val="Calibri Light"/>
        <family val="2"/>
        <scheme val="major"/>
      </rPr>
      <t>Total Liabilities</t>
    </r>
    <r>
      <rPr>
        <sz val="11"/>
        <rFont val="Calibri Light"/>
        <family val="2"/>
        <scheme val="major"/>
      </rPr>
      <t xml:space="preserve">
Total Equity</t>
    </r>
  </si>
  <si>
    <r>
      <rPr>
        <u/>
        <sz val="11"/>
        <rFont val="Calibri Light"/>
        <family val="2"/>
        <scheme val="major"/>
      </rPr>
      <t>Operating Expense</t>
    </r>
    <r>
      <rPr>
        <sz val="11"/>
        <rFont val="Calibri Light"/>
        <family val="2"/>
        <scheme val="major"/>
      </rPr>
      <t xml:space="preserve">
Total Revenue</t>
    </r>
  </si>
  <si>
    <t xml:space="preserve">GHANA CO-OPERATIVE SUSU COLLECTORS ASSOCIATION </t>
  </si>
  <si>
    <t xml:space="preserve">GCSCA-PR-UA </t>
  </si>
  <si>
    <t>Interest from Treasury and BOG bills</t>
  </si>
  <si>
    <t>Interest from Fixed deposits with banks/Fin. Insti</t>
  </si>
  <si>
    <t>Interest from savings/call accounts with banks/fin institutions</t>
  </si>
  <si>
    <t>Registration Fees</t>
  </si>
  <si>
    <t>Passbook Fees</t>
  </si>
  <si>
    <t xml:space="preserve">Rent and Rates </t>
  </si>
  <si>
    <t>Postage and Telephone</t>
  </si>
  <si>
    <t>Electricity and Water</t>
  </si>
  <si>
    <t>Office refreshment</t>
  </si>
  <si>
    <t>Printing/Branding and Stationery</t>
  </si>
  <si>
    <t>Penalties and Other Fees</t>
  </si>
  <si>
    <t>Registration/Subscription and Renewals</t>
  </si>
  <si>
    <t>Business Operating Permit</t>
  </si>
  <si>
    <t>Fuel and Lubricant</t>
  </si>
  <si>
    <t>Traveling and Transport Expenses</t>
  </si>
  <si>
    <t>AT Cash</t>
  </si>
  <si>
    <t>Interest Rate % (p. a.)</t>
  </si>
  <si>
    <t>Other Payables</t>
  </si>
  <si>
    <t>Total Number of male clients</t>
  </si>
  <si>
    <t>Total number of clients dropping out (permanently closed accounts) this month</t>
  </si>
  <si>
    <t>Average Susu Mobilised in the Month (GHS)</t>
  </si>
  <si>
    <t xml:space="preserve">The total amount of money you have paid to your clients within the reporting
month. </t>
  </si>
  <si>
    <t>Location</t>
  </si>
  <si>
    <t>Remarks</t>
  </si>
  <si>
    <t>Top Twenty (20) Largest Depositors</t>
  </si>
  <si>
    <t>REPORTING MONTH</t>
  </si>
  <si>
    <t>DEPOSITS PORTFOLIO ACTIVITY</t>
  </si>
  <si>
    <t>JANUARY</t>
  </si>
  <si>
    <t>FEBRUARY</t>
  </si>
  <si>
    <t>MARCH</t>
  </si>
  <si>
    <t>APRIL</t>
  </si>
  <si>
    <t>MAY</t>
  </si>
  <si>
    <t>JUNE</t>
  </si>
  <si>
    <t>JULY</t>
  </si>
  <si>
    <t>AUGUST</t>
  </si>
  <si>
    <t>SEPTEMBER</t>
  </si>
  <si>
    <t>OCTOBER</t>
  </si>
  <si>
    <t>NOVEMBER</t>
  </si>
  <si>
    <t>DECEMBER</t>
  </si>
  <si>
    <t>Month</t>
  </si>
  <si>
    <t>ANNEXURE A - TOTAL INCOME FROM COMMISION</t>
  </si>
  <si>
    <t>Individual - Commission Income</t>
  </si>
  <si>
    <t>Group - Commission Income</t>
  </si>
  <si>
    <t>Private  Enterprises - Commission Income</t>
  </si>
  <si>
    <t>Other Operating Revenue</t>
  </si>
  <si>
    <t>Susu Savings/Deposits</t>
  </si>
  <si>
    <t>Total Number &amp; Value of youth depositors (18-35 years)</t>
  </si>
  <si>
    <t>Total Income from Commission</t>
  </si>
  <si>
    <t>Susu Balance (GHS)</t>
  </si>
  <si>
    <t>Contact (Number)</t>
  </si>
  <si>
    <t>5.3</t>
  </si>
  <si>
    <t>5.4</t>
  </si>
  <si>
    <t>5.5</t>
  </si>
  <si>
    <t>5.6</t>
  </si>
  <si>
    <t>5.7</t>
  </si>
  <si>
    <t>5.8</t>
  </si>
  <si>
    <t>5.9</t>
  </si>
  <si>
    <t>5.10</t>
  </si>
  <si>
    <t>5.11</t>
  </si>
  <si>
    <t>5.12</t>
  </si>
  <si>
    <t>5.13</t>
  </si>
  <si>
    <t>5.14</t>
  </si>
  <si>
    <t>1.5</t>
  </si>
  <si>
    <t>2.2</t>
  </si>
  <si>
    <t>2.4</t>
  </si>
  <si>
    <t>2.5</t>
  </si>
  <si>
    <t>2.6</t>
  </si>
  <si>
    <t>Account Receivables &amp; Other Assets/Prepayments</t>
  </si>
  <si>
    <t xml:space="preserve">Account Payables and Other Liabilities/Accruals </t>
  </si>
  <si>
    <t>1.7</t>
  </si>
  <si>
    <t>Deposits Portfolio</t>
  </si>
  <si>
    <t>Professional/Audit Fees</t>
  </si>
  <si>
    <t>Average susu savings balance per client as at reporting date (GHS)</t>
  </si>
  <si>
    <t>Sum of all outstanding deposits (or clients' balances) at the day of reporting.
Balances of all monies you owe your clients at the day of reporting, you haven't paid yet.</t>
  </si>
  <si>
    <t>The number and value of How much money have you mobilized from all of your clients during that particular month of reporting?</t>
  </si>
  <si>
    <r>
      <t xml:space="preserve">Sum of all outstanding deposits (or clients' balances) at the day of reporting.
Balances of all monies you owe your clients at the day of reporting, you haven't paid yet. </t>
    </r>
    <r>
      <rPr>
        <b/>
        <i/>
        <sz val="10"/>
        <color theme="1"/>
        <rFont val="Times New Roman"/>
        <family val="1"/>
      </rPr>
      <t>Enter the number and Value</t>
    </r>
  </si>
  <si>
    <t>How much of your clients' money did you have at the bank and in cash or Momo at the end of the reporting month?</t>
  </si>
  <si>
    <t xml:space="preserve">How much of your clients' money is currently in short term investments as at the reporting date? (no SIF contributions)  
</t>
  </si>
  <si>
    <t>How much money did you get out of commission during the reporting month?</t>
  </si>
  <si>
    <t>How much interest did you receive from your bank account or your investments during the reporting month?</t>
  </si>
  <si>
    <t>Other income that is related to susu business within the reporting month.Eg. Sale of Passbook, Registration Fee etc.  income out of mobile money should not be part of this.</t>
  </si>
  <si>
    <t xml:space="preserve">Expenses that are related to susu business within the reporting month </t>
  </si>
  <si>
    <t xml:space="preserve">Income from products and services not directly related to core microfinance (money lending) operations. </t>
  </si>
  <si>
    <t xml:space="preserve">All expenses not directly related to the core susu operation, such as the cost of providing business development services or training, entered as a NEGATIVE number. This account also includes any exceptional losses and expenses. </t>
  </si>
  <si>
    <t>including the owner, the agents and office staff</t>
  </si>
  <si>
    <t>Susu Savings/Deposit</t>
  </si>
  <si>
    <t>Out of the total number of employees, how many are agents / mobile bankers?</t>
  </si>
  <si>
    <t>MEMBERSHIP NUMBER:</t>
  </si>
  <si>
    <r>
      <t xml:space="preserve">The principal balance of </t>
    </r>
    <r>
      <rPr>
        <b/>
        <i/>
        <sz val="12"/>
        <rFont val="Times New Roman"/>
        <family val="1"/>
      </rPr>
      <t>loans contracted from financial institutions / individuals</t>
    </r>
    <r>
      <rPr>
        <i/>
        <sz val="11"/>
        <rFont val="Times New Roman"/>
        <family val="1"/>
      </rPr>
      <t xml:space="preserve"> which is payable </t>
    </r>
    <r>
      <rPr>
        <b/>
        <i/>
        <sz val="12"/>
        <rFont val="Times New Roman"/>
        <family val="1"/>
      </rPr>
      <t>within a year or 12 months</t>
    </r>
  </si>
  <si>
    <r>
      <t xml:space="preserve">The principal balance of </t>
    </r>
    <r>
      <rPr>
        <b/>
        <i/>
        <sz val="12"/>
        <rFont val="Times New Roman"/>
        <family val="1"/>
      </rPr>
      <t>loans contracted from financial institutions / individuals</t>
    </r>
    <r>
      <rPr>
        <i/>
        <sz val="11"/>
        <rFont val="Times New Roman"/>
        <family val="1"/>
      </rPr>
      <t xml:space="preserve"> which is payable </t>
    </r>
    <r>
      <rPr>
        <b/>
        <i/>
        <sz val="12"/>
        <rFont val="Times New Roman"/>
        <family val="1"/>
      </rPr>
      <t>after a year</t>
    </r>
  </si>
  <si>
    <t>Interest payable on contracted loans</t>
  </si>
  <si>
    <t>Interest accrued on borrowings that fund operations.</t>
  </si>
  <si>
    <t xml:space="preserve">Other short-term liabilities due within 12 months, including tax and salary liabilities, payroll withholdings, and other accounts payable. </t>
  </si>
  <si>
    <t>The value of capital paid by shareholders or members/owners net of any shares repurchased or capital repaid by owners (in the case of individual operators).</t>
  </si>
  <si>
    <r>
      <t xml:space="preserve">The value of cash withdrawals taken out of the business by propritors/Proprietries for personal use. </t>
    </r>
    <r>
      <rPr>
        <i/>
        <sz val="11"/>
        <color rgb="FFFF0000"/>
        <rFont val="Times New Roman"/>
        <family val="1"/>
      </rPr>
      <t>(This figure should be negative)</t>
    </r>
  </si>
  <si>
    <t>2.18</t>
  </si>
  <si>
    <t>Total number of new clients for this month - female</t>
  </si>
  <si>
    <t>Total number of new clients for this month - male</t>
  </si>
  <si>
    <t>Number of Mobile Bankers</t>
  </si>
  <si>
    <t>Number of Female Personnel (Staff)</t>
  </si>
  <si>
    <t>Number of Male Personnel (Staff)</t>
  </si>
  <si>
    <t>Number of Female Staff in management position</t>
  </si>
  <si>
    <t>Number of male Staff in management position</t>
  </si>
  <si>
    <t xml:space="preserve">If you have dormant clients what is the total amount of their money that you are keeping? </t>
  </si>
  <si>
    <t xml:space="preserve">The number of  depositors/susu savers, who are currently saving with the Susu enterprise. Individuals who have multiple accounts with the susu enterprise should be counted as a single client. </t>
  </si>
  <si>
    <t xml:space="preserve">The number of  female depositors/susu savers, who are currently saving with the Susu enterprise. Individuals who have multiple accounts with the susu enterprise should be counted as a single client. </t>
  </si>
  <si>
    <t xml:space="preserve">The number of  male depositors/susu savers, who are currently saving with the Susu enterprise. Individuals who have multiple accounts with the susu enterprise should be counted as a single client. </t>
  </si>
  <si>
    <t>Value of susu savings balances divided by the number of  susu savers.</t>
  </si>
  <si>
    <t>Value of Susu mobilized in the month divided by the number of susu savers.</t>
  </si>
  <si>
    <t>Total Number of youth savers (18-35 years) during the reporting period</t>
  </si>
  <si>
    <t>Total Number of PWDS savers during the reporting period</t>
  </si>
  <si>
    <t>Top Twenty (20) Smallest Depositors</t>
  </si>
  <si>
    <t>20 Largest deposits to Susu/savings balance Ratio</t>
  </si>
  <si>
    <t>Yield on Susu/savings balance</t>
  </si>
  <si>
    <r>
      <rPr>
        <u/>
        <sz val="11"/>
        <rFont val="Calibri Light"/>
        <family val="2"/>
        <scheme val="major"/>
      </rPr>
      <t>Cash Received from Fees and Commissions on Savings/Susu</t>
    </r>
    <r>
      <rPr>
        <sz val="11"/>
        <rFont val="Calibri Light"/>
        <family val="2"/>
        <scheme val="major"/>
      </rPr>
      <t xml:space="preserve">
 Susu/Saving balance</t>
    </r>
  </si>
  <si>
    <r>
      <rPr>
        <u/>
        <sz val="11"/>
        <rFont val="Calibri Light"/>
        <family val="2"/>
        <scheme val="major"/>
      </rPr>
      <t>Cash Received from Fees and Commissions on Investments</t>
    </r>
    <r>
      <rPr>
        <sz val="11"/>
        <rFont val="Calibri Light"/>
        <family val="2"/>
        <scheme val="major"/>
      </rPr>
      <t xml:space="preserve">
Average Investments</t>
    </r>
  </si>
  <si>
    <t xml:space="preserve">Susu savers per Mobile Banker </t>
  </si>
  <si>
    <r>
      <t xml:space="preserve">Number of Susu savers
</t>
    </r>
    <r>
      <rPr>
        <sz val="11"/>
        <rFont val="Calibri Light"/>
        <family val="2"/>
        <scheme val="major"/>
      </rPr>
      <t>Number of mobile bankers</t>
    </r>
  </si>
  <si>
    <t>Susu savers per Staff</t>
  </si>
  <si>
    <r>
      <t xml:space="preserve">Number of Susu savers
</t>
    </r>
    <r>
      <rPr>
        <sz val="11"/>
        <rFont val="Calibri Light"/>
        <family val="2"/>
        <scheme val="major"/>
      </rPr>
      <t>Number of staff</t>
    </r>
  </si>
  <si>
    <r>
      <t xml:space="preserve">                                     </t>
    </r>
    <r>
      <rPr>
        <u/>
        <sz val="11"/>
        <rFont val="Calibri Light"/>
        <family val="2"/>
        <scheme val="major"/>
      </rPr>
      <t xml:space="preserve"> Operating Income </t>
    </r>
    <r>
      <rPr>
        <sz val="11"/>
        <rFont val="Calibri Light"/>
        <family val="2"/>
        <scheme val="major"/>
      </rPr>
      <t xml:space="preserve">
                  Financing Costs+ Operating Costs</t>
    </r>
  </si>
  <si>
    <t>(Cash +Trade Investments)/Susu Balance +Short-term Borrowings+Interest Payable on Funding Liabilities +Accounts Payable and Other Short-term Liabilities</t>
  </si>
  <si>
    <t>Financial Expense</t>
  </si>
  <si>
    <t>Fees and charges expnese on borrowings</t>
  </si>
  <si>
    <t>Interest paid on Borrowings</t>
  </si>
  <si>
    <t>ANNEXURE E - FINANCIAL EXPENSE</t>
  </si>
  <si>
    <t>ANNEXURE  F -  ADMINISTRATIVE EXPENSES</t>
  </si>
  <si>
    <t>ANNEXURE G - PERSONNEL EXPENSE</t>
  </si>
  <si>
    <t>Return on Earning Assets</t>
  </si>
  <si>
    <r>
      <rPr>
        <u/>
        <sz val="11"/>
        <rFont val="Calibri Light"/>
        <family val="2"/>
        <scheme val="major"/>
      </rPr>
      <t>Net Operating income after taxes</t>
    </r>
    <r>
      <rPr>
        <sz val="11"/>
        <rFont val="Calibri Light"/>
        <family val="2"/>
        <scheme val="major"/>
      </rPr>
      <t xml:space="preserve">
Short term Investment+Long term Investment
</t>
    </r>
  </si>
  <si>
    <t>Primary Reserve (50% Minimum)</t>
  </si>
  <si>
    <t>Secondary Reserve (50% Minimum)</t>
  </si>
  <si>
    <t xml:space="preserve">Cash and Due from Bank
Susu savings/deposits
</t>
  </si>
  <si>
    <r>
      <rPr>
        <u/>
        <sz val="11"/>
        <rFont val="Calibri Light"/>
        <family val="2"/>
        <scheme val="major"/>
      </rPr>
      <t>Cash and Due from Bank Short term+Long term Investment</t>
    </r>
    <r>
      <rPr>
        <sz val="11"/>
        <rFont val="Calibri Light"/>
        <family val="2"/>
        <scheme val="major"/>
      </rPr>
      <t xml:space="preserve">
Susu savings/deposits
</t>
    </r>
  </si>
  <si>
    <r>
      <t xml:space="preserve">Net </t>
    </r>
    <r>
      <rPr>
        <u/>
        <sz val="11"/>
        <rFont val="Calibri Light"/>
        <family val="2"/>
        <scheme val="major"/>
      </rPr>
      <t>Fixed Assets</t>
    </r>
    <r>
      <rPr>
        <sz val="11"/>
        <rFont val="Calibri Light"/>
        <family val="2"/>
        <scheme val="major"/>
      </rPr>
      <t xml:space="preserve">
Total Assets
</t>
    </r>
  </si>
  <si>
    <r>
      <rPr>
        <u/>
        <sz val="11"/>
        <rFont val="Calibri Light"/>
        <family val="2"/>
        <scheme val="major"/>
      </rPr>
      <t>Operating Expense+Financial Exp+NonOperating Exp+ Tax</t>
    </r>
    <r>
      <rPr>
        <sz val="11"/>
        <rFont val="Calibri Light"/>
        <family val="2"/>
        <scheme val="major"/>
      </rPr>
      <t xml:space="preserve">
Total Revenue</t>
    </r>
  </si>
  <si>
    <t>Personnel Expense
Total Revenue</t>
  </si>
  <si>
    <r>
      <rPr>
        <u/>
        <sz val="11"/>
        <rFont val="Calibri Light"/>
        <family val="2"/>
        <scheme val="major"/>
      </rPr>
      <t>Administrative Expense</t>
    </r>
    <r>
      <rPr>
        <sz val="11"/>
        <rFont val="Calibri Light"/>
        <family val="2"/>
        <scheme val="major"/>
      </rPr>
      <t xml:space="preserve">
Total Revenue</t>
    </r>
  </si>
  <si>
    <t>Gearing ratio</t>
  </si>
  <si>
    <r>
      <rPr>
        <u/>
        <sz val="11"/>
        <rFont val="Calibri Light"/>
        <family val="2"/>
        <scheme val="major"/>
      </rPr>
      <t>Total Borrowings</t>
    </r>
    <r>
      <rPr>
        <sz val="11"/>
        <rFont val="Calibri Light"/>
        <family val="2"/>
        <scheme val="major"/>
      </rPr>
      <t xml:space="preserve">
Equity
</t>
    </r>
  </si>
  <si>
    <t>Earning Asset to Total Asset ratio</t>
  </si>
  <si>
    <r>
      <rPr>
        <u/>
        <sz val="11"/>
        <rFont val="Calibri Light"/>
        <family val="2"/>
        <scheme val="major"/>
      </rPr>
      <t>Short term+Long term Investment</t>
    </r>
    <r>
      <rPr>
        <sz val="11"/>
        <rFont val="Calibri Light"/>
        <family val="2"/>
        <scheme val="major"/>
      </rPr>
      <t xml:space="preserve">
Total Assets
</t>
    </r>
  </si>
  <si>
    <t>Sum(1.6+1.7+1.8)</t>
  </si>
  <si>
    <t>Net earnings from financial services . Line (1.4-1.5-1.9)</t>
  </si>
  <si>
    <t>Line 1.10+(1.11+1.12)</t>
  </si>
  <si>
    <t>Line 1.13-1.14</t>
  </si>
  <si>
    <r>
      <t xml:space="preserve">Total Client </t>
    </r>
    <r>
      <rPr>
        <b/>
        <sz val="12"/>
        <color theme="1"/>
        <rFont val="Times New Roman"/>
        <family val="1"/>
      </rPr>
      <t>deposits mobilised</t>
    </r>
    <r>
      <rPr>
        <sz val="12"/>
        <color theme="1"/>
        <rFont val="Times New Roman"/>
        <family val="1"/>
      </rPr>
      <t xml:space="preserve"> this month</t>
    </r>
  </si>
  <si>
    <r>
      <t xml:space="preserve">Total </t>
    </r>
    <r>
      <rPr>
        <b/>
        <sz val="12"/>
        <color theme="1"/>
        <rFont val="Times New Roman"/>
        <family val="1"/>
      </rPr>
      <t>Withdrawals</t>
    </r>
    <r>
      <rPr>
        <sz val="12"/>
        <color theme="1"/>
        <rFont val="Times New Roman"/>
        <family val="1"/>
      </rPr>
      <t xml:space="preserve"> paid to clients this month</t>
    </r>
  </si>
  <si>
    <r>
      <t xml:space="preserve">Total </t>
    </r>
    <r>
      <rPr>
        <b/>
        <sz val="12"/>
        <color theme="1"/>
        <rFont val="Times New Roman"/>
        <family val="1"/>
      </rPr>
      <t>Susu/savings balances</t>
    </r>
    <r>
      <rPr>
        <sz val="12"/>
        <color theme="1"/>
        <rFont val="Times New Roman"/>
        <family val="1"/>
      </rPr>
      <t xml:space="preserve"> as at reporting date</t>
    </r>
  </si>
  <si>
    <r>
      <t>Total</t>
    </r>
    <r>
      <rPr>
        <b/>
        <sz val="12"/>
        <color theme="1"/>
        <rFont val="Times New Roman"/>
        <family val="1"/>
      </rPr>
      <t xml:space="preserve"> Females Savings/Susu</t>
    </r>
    <r>
      <rPr>
        <sz val="12"/>
        <color theme="1"/>
        <rFont val="Times New Roman"/>
        <family val="1"/>
      </rPr>
      <t xml:space="preserve"> Portfolio as at the reporting date</t>
    </r>
  </si>
  <si>
    <r>
      <t xml:space="preserve">Total </t>
    </r>
    <r>
      <rPr>
        <b/>
        <sz val="12"/>
        <color theme="1"/>
        <rFont val="Times New Roman"/>
        <family val="1"/>
      </rPr>
      <t>Males Savings/Susu</t>
    </r>
    <r>
      <rPr>
        <sz val="12"/>
        <color theme="1"/>
        <rFont val="Times New Roman"/>
        <family val="1"/>
      </rPr>
      <t xml:space="preserve"> Portfolio as at the reporting date</t>
    </r>
  </si>
  <si>
    <r>
      <t xml:space="preserve">Total </t>
    </r>
    <r>
      <rPr>
        <b/>
        <sz val="12"/>
        <color theme="1"/>
        <rFont val="Times New Roman"/>
        <family val="1"/>
      </rPr>
      <t>Dormant balances</t>
    </r>
    <r>
      <rPr>
        <sz val="12"/>
        <color theme="1"/>
        <rFont val="Times New Roman"/>
        <family val="1"/>
      </rPr>
      <t xml:space="preserve"> as at reporting date</t>
    </r>
  </si>
  <si>
    <t>Total Number  &amp; Value of Susu balances by Persons with Special needs(PWDS)</t>
  </si>
  <si>
    <t>NUMBER OF CLIENTS</t>
  </si>
  <si>
    <t>GCSCA-13-R-RB-OSP-PR-BS-PLS</t>
  </si>
  <si>
    <t>QUICK RETURNS SUSU ENTERPRISE</t>
  </si>
  <si>
    <t xml:space="preserve">
GCSCA-GT-0-0000288</t>
  </si>
  <si>
    <t>2026</t>
  </si>
  <si>
    <t>ECOBANK</t>
  </si>
  <si>
    <t>TREASURY BILL</t>
  </si>
  <si>
    <t>Active</t>
  </si>
  <si>
    <t>SOWUTUOM</t>
  </si>
  <si>
    <t>AGNES</t>
  </si>
  <si>
    <t>LINA OTUA ACHEAMPONG</t>
  </si>
  <si>
    <t>ABIGAIL YEVUGA</t>
  </si>
  <si>
    <t>AKOSUA REBECCA</t>
  </si>
  <si>
    <t>ADWOA AND SARAH</t>
  </si>
  <si>
    <t>AUGUSTINA OBENG</t>
  </si>
  <si>
    <t>COMFORT ADWOA</t>
  </si>
  <si>
    <t>DD 2</t>
  </si>
  <si>
    <t>DD 1</t>
  </si>
  <si>
    <t>DORIS BOANSI</t>
  </si>
  <si>
    <t>DORCAS KRAMPAH</t>
  </si>
  <si>
    <t>DERRICK MENSAH</t>
  </si>
  <si>
    <t>ESTHER ANOKYEWAA</t>
  </si>
  <si>
    <t>ISAAC ANTHONY</t>
  </si>
  <si>
    <t>MARY ACHIAA</t>
  </si>
  <si>
    <t>MARY DARKOAH</t>
  </si>
  <si>
    <t>MARTHA ADJEI</t>
  </si>
  <si>
    <t>REBECCA ABEYIE</t>
  </si>
  <si>
    <t>SETH TWUM</t>
  </si>
  <si>
    <t>ROYAL KITCHEN</t>
  </si>
  <si>
    <t>PATIENCE AGYEI</t>
  </si>
  <si>
    <t>AMISSAH CHARLOTTE</t>
  </si>
  <si>
    <t>ASARE EBEN</t>
  </si>
  <si>
    <t>AKUA AMPONSAH</t>
  </si>
  <si>
    <t>AISHA IBRAHIM 2</t>
  </si>
  <si>
    <t>ALICE OSEI</t>
  </si>
  <si>
    <t>ANGELINA ASANTEWAA</t>
  </si>
  <si>
    <t>GOLDDUST A KONADU</t>
  </si>
  <si>
    <t>HORLAS CUIZINE</t>
  </si>
  <si>
    <t>SELINA AZURE</t>
  </si>
  <si>
    <t>ASIKO</t>
  </si>
  <si>
    <t>ADEPA BRAGO</t>
  </si>
  <si>
    <t>ABIGAIL BUCKLE</t>
  </si>
  <si>
    <t>PEREZ</t>
  </si>
  <si>
    <t>AGNES ANIAH</t>
  </si>
  <si>
    <t>BARNES EMMANUEL</t>
  </si>
  <si>
    <t>BENJAMIN VIGLO</t>
  </si>
  <si>
    <t>BELINDA ATOMADA</t>
  </si>
  <si>
    <t>BRIGHT YEBOAH</t>
  </si>
  <si>
    <t>BLESS BLEWUSI</t>
  </si>
  <si>
    <t>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</si>
</sst>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mmmm\ yyyy"/>
    <numFmt numFmtId="166" formatCode="_(* #,##0_);_(* \(#,##0\);_(* &quot;-&quot;??_);_(@_)"/>
    <numFmt numFmtId="167" formatCode="[$-F800]dddd\,\ mmmm\ dd\,\ yyyy"/>
    <numFmt numFmtId="168" formatCode="&quot;GH₵&quot;#,##0.00"/>
  </numFmts>
  <fonts count="8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u/>
      <sz val="12"/>
      <color theme="1"/>
      <name val="Calibri"/>
      <family val="2"/>
      <scheme val="minor"/>
    </font>
    <font>
      <i/>
      <sz val="11"/>
      <color theme="1"/>
      <name val="Calibri"/>
      <family val="2"/>
      <scheme val="minor"/>
    </font>
    <font>
      <b/>
      <i/>
      <sz val="11"/>
      <color theme="1"/>
      <name val="Calibri"/>
      <family val="2"/>
      <scheme val="minor"/>
    </font>
    <font>
      <b/>
      <i/>
      <sz val="11"/>
      <color rgb="FFFF0000"/>
      <name val="Calibri"/>
      <family val="2"/>
      <scheme val="minor"/>
    </font>
    <font>
      <b/>
      <sz val="14"/>
      <color indexed="8"/>
      <name val="Calibri"/>
      <family val="2"/>
    </font>
    <font>
      <b/>
      <sz val="11"/>
      <color indexed="8"/>
      <name val="Calibri"/>
      <family val="2"/>
    </font>
    <font>
      <sz val="12"/>
      <color indexed="8"/>
      <name val="Times New Roman"/>
      <family val="1"/>
    </font>
    <font>
      <sz val="12"/>
      <color theme="1"/>
      <name val="Calibri"/>
      <family val="2"/>
      <scheme val="minor"/>
    </font>
    <font>
      <i/>
      <sz val="11"/>
      <color indexed="8"/>
      <name val="Calibri"/>
      <family val="2"/>
    </font>
    <font>
      <sz val="12"/>
      <color indexed="8"/>
      <name val="Calibri"/>
      <family val="2"/>
    </font>
    <font>
      <sz val="10"/>
      <name val="Arial"/>
      <family val="2"/>
    </font>
    <font>
      <b/>
      <sz val="12"/>
      <name val="Times New Roman"/>
      <family val="1"/>
    </font>
    <font>
      <b/>
      <sz val="12"/>
      <color indexed="8"/>
      <name val="Calibri"/>
      <family val="2"/>
    </font>
    <font>
      <b/>
      <i/>
      <sz val="10"/>
      <color theme="1"/>
      <name val="Times New Roman"/>
      <family val="1"/>
    </font>
    <font>
      <b/>
      <sz val="12"/>
      <color indexed="8"/>
      <name val="Times New Roman"/>
      <family val="1"/>
    </font>
    <font>
      <b/>
      <sz val="12"/>
      <color indexed="10"/>
      <name val="Times New Roman"/>
      <family val="1"/>
    </font>
    <font>
      <b/>
      <sz val="12"/>
      <color indexed="10"/>
      <name val="Calibri"/>
      <family val="2"/>
    </font>
    <font>
      <b/>
      <i/>
      <sz val="11"/>
      <color indexed="8"/>
      <name val="Times New Roman"/>
      <family val="1"/>
    </font>
    <font>
      <sz val="12"/>
      <name val="Times New Roman"/>
      <family val="1"/>
    </font>
    <font>
      <i/>
      <sz val="10"/>
      <color theme="1"/>
      <name val="Times New Roman"/>
      <family val="1"/>
    </font>
    <font>
      <sz val="12"/>
      <color theme="1"/>
      <name val="Times New Roman"/>
      <family val="1"/>
    </font>
    <font>
      <i/>
      <sz val="10"/>
      <name val="Arial"/>
      <family val="2"/>
    </font>
    <font>
      <b/>
      <i/>
      <sz val="12"/>
      <name val="Times New Roman"/>
      <family val="1"/>
    </font>
    <font>
      <b/>
      <i/>
      <sz val="11"/>
      <name val="Times New Roman"/>
      <family val="1"/>
    </font>
    <font>
      <i/>
      <sz val="11"/>
      <name val="Times New Roman"/>
      <family val="1"/>
    </font>
    <font>
      <i/>
      <sz val="11"/>
      <color rgb="FFFF0000"/>
      <name val="Times New Roman"/>
      <family val="1"/>
    </font>
    <font>
      <sz val="11"/>
      <name val="Arial"/>
      <family val="2"/>
    </font>
    <font>
      <b/>
      <i/>
      <sz val="12"/>
      <color rgb="FF0070C0"/>
      <name val="Times New Roman"/>
      <family val="1"/>
    </font>
    <font>
      <b/>
      <sz val="12"/>
      <color theme="1"/>
      <name val="Times New Roman"/>
      <family val="1"/>
    </font>
    <font>
      <b/>
      <sz val="11"/>
      <name val="Calibri"/>
      <family val="2"/>
    </font>
    <font>
      <b/>
      <sz val="14"/>
      <color indexed="8"/>
      <name val="Times New Roman"/>
      <family val="1"/>
    </font>
    <font>
      <b/>
      <i/>
      <sz val="12"/>
      <color rgb="FFFF0000"/>
      <name val="Times New Roman"/>
      <family val="1"/>
    </font>
    <font>
      <i/>
      <sz val="11"/>
      <color indexed="8"/>
      <name val="Times New Roman"/>
      <family val="1"/>
    </font>
    <font>
      <i/>
      <sz val="12"/>
      <name val="Times New Roman"/>
      <family val="1"/>
    </font>
    <font>
      <sz val="11"/>
      <color theme="1"/>
      <name val="Times New Roman"/>
      <family val="1"/>
    </font>
    <font>
      <b/>
      <sz val="11"/>
      <name val="Times New Roman"/>
      <family val="1"/>
    </font>
    <font>
      <b/>
      <sz val="12"/>
      <name val="Arial"/>
      <family val="2"/>
    </font>
    <font>
      <i/>
      <sz val="12"/>
      <color rgb="FF0070C0"/>
      <name val="Times New Roman"/>
      <family val="1"/>
    </font>
    <font>
      <sz val="10"/>
      <color theme="1"/>
      <name val="Times New Roman"/>
      <family val="1"/>
    </font>
    <font>
      <b/>
      <sz val="11"/>
      <color indexed="8"/>
      <name val="Times New Roman"/>
      <family val="1"/>
    </font>
    <font>
      <i/>
      <sz val="10"/>
      <color indexed="8"/>
      <name val="Times New Roman"/>
      <family val="1"/>
    </font>
    <font>
      <b/>
      <sz val="11"/>
      <color theme="1"/>
      <name val="Times New Roman"/>
      <family val="1"/>
    </font>
    <font>
      <b/>
      <i/>
      <sz val="12"/>
      <color theme="1"/>
      <name val="Times New Roman"/>
      <family val="1"/>
    </font>
    <font>
      <b/>
      <sz val="10"/>
      <color theme="1"/>
      <name val="Times New Roman"/>
      <family val="1"/>
    </font>
    <font>
      <i/>
      <sz val="12"/>
      <color theme="1"/>
      <name val="Times New Roman"/>
      <family val="1"/>
    </font>
    <font>
      <sz val="12"/>
      <color rgb="FF000000"/>
      <name val="Times New Roman"/>
      <family val="1"/>
    </font>
    <font>
      <i/>
      <sz val="10"/>
      <color rgb="FF000000"/>
      <name val="Times New Roman"/>
      <family val="1"/>
    </font>
    <font>
      <sz val="11"/>
      <name val="Times New Roman"/>
      <family val="1"/>
    </font>
    <font>
      <b/>
      <sz val="12"/>
      <color rgb="FFFF0000"/>
      <name val="Times New Roman"/>
      <family val="1"/>
    </font>
    <font>
      <i/>
      <sz val="12"/>
      <color theme="1"/>
      <name val="Calibri"/>
      <family val="2"/>
      <scheme val="minor"/>
    </font>
    <font>
      <i/>
      <sz val="12"/>
      <color rgb="FFFF0000"/>
      <name val="Calibri"/>
      <family val="2"/>
      <scheme val="minor"/>
    </font>
    <font>
      <b/>
      <sz val="12"/>
      <color theme="1"/>
      <name val="Calibri"/>
      <family val="2"/>
      <scheme val="minor"/>
    </font>
    <font>
      <b/>
      <sz val="14"/>
      <color rgb="FFFF0000"/>
      <name val="Calibri"/>
      <family val="2"/>
      <scheme val="minor"/>
    </font>
    <font>
      <sz val="11"/>
      <color indexed="8"/>
      <name val="Calibri"/>
      <family val="2"/>
    </font>
    <font>
      <b/>
      <i/>
      <sz val="11"/>
      <color rgb="FFFF0000"/>
      <name val="Times New Roman"/>
      <family val="1"/>
    </font>
    <font>
      <b/>
      <i/>
      <sz val="11"/>
      <color rgb="FFFF0000"/>
      <name val="Calibri"/>
      <family val="2"/>
    </font>
    <font>
      <b/>
      <i/>
      <sz val="14"/>
      <color rgb="FFFF0000"/>
      <name val="Calibri"/>
      <family val="2"/>
    </font>
    <font>
      <b/>
      <sz val="12"/>
      <color rgb="FFFF0000"/>
      <name val="Calibri"/>
      <family val="2"/>
    </font>
    <font>
      <b/>
      <sz val="9"/>
      <name val="Times New Roman"/>
      <family val="1"/>
    </font>
    <font>
      <b/>
      <sz val="9"/>
      <color rgb="FFFF0000"/>
      <name val="Times New Roman"/>
      <family val="1"/>
    </font>
    <font>
      <b/>
      <sz val="9"/>
      <color rgb="FF303030"/>
      <name val="Times New Roman"/>
      <family val="1"/>
    </font>
    <font>
      <sz val="11"/>
      <color indexed="8"/>
      <name val="Times New Roman"/>
      <family val="1"/>
    </font>
    <font>
      <b/>
      <sz val="11"/>
      <color rgb="FF303030"/>
      <name val="Times New Roman"/>
      <family val="1"/>
    </font>
    <font>
      <b/>
      <sz val="12"/>
      <color rgb="FF303030"/>
      <name val="Times New Roman"/>
      <family val="1"/>
    </font>
    <font>
      <sz val="11"/>
      <color theme="1"/>
      <name val="Calibri Light"/>
      <family val="2"/>
      <scheme val="major"/>
    </font>
    <font>
      <b/>
      <sz val="11"/>
      <name val="Calibri Light"/>
      <family val="2"/>
      <scheme val="major"/>
    </font>
    <font>
      <b/>
      <sz val="11"/>
      <color theme="1"/>
      <name val="Calibri Light"/>
      <family val="2"/>
      <scheme val="major"/>
    </font>
    <font>
      <sz val="11"/>
      <name val="Calibri Light"/>
      <family val="2"/>
      <scheme val="major"/>
    </font>
    <font>
      <sz val="11"/>
      <color theme="9" tint="-0.499984740745262"/>
      <name val="Calibri Light"/>
      <family val="2"/>
      <scheme val="major"/>
    </font>
    <font>
      <u/>
      <sz val="11"/>
      <name val="Calibri Light"/>
      <family val="2"/>
      <scheme val="major"/>
    </font>
    <font>
      <sz val="10"/>
      <name val="Calibri Light"/>
      <family val="2"/>
      <scheme val="major"/>
    </font>
    <font>
      <b/>
      <u/>
      <sz val="11"/>
      <name val="Calibri Light"/>
      <family val="2"/>
      <scheme val="major"/>
    </font>
    <font>
      <sz val="8"/>
      <name val="Calibri"/>
      <family val="2"/>
      <scheme val="minor"/>
    </font>
    <font>
      <i/>
      <sz val="11"/>
      <color theme="1"/>
      <name val="Times New Roman"/>
      <family val="1"/>
    </font>
    <font>
      <sz val="11"/>
      <color theme="0" tint="-4.9989318521683403E-2"/>
      <name val="Calibri"/>
      <family val="2"/>
      <scheme val="minor"/>
    </font>
    <font>
      <sz val="12"/>
      <color theme="1"/>
      <name val="Times New Roman"/>
    </font>
  </fonts>
  <fills count="20">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theme="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bgColor indexed="64"/>
      </patternFill>
    </fill>
    <fill>
      <patternFill patternType="solid">
        <fgColor rgb="FFE2CFF1"/>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2"/>
        <bgColor indexed="64"/>
      </patternFill>
    </fill>
    <fill>
      <patternFill patternType="solid">
        <fgColor rgb="FFD1FA06"/>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auto="1"/>
      </bottom>
      <diagonal/>
    </border>
    <border>
      <left/>
      <right style="thin">
        <color indexed="64"/>
      </right>
      <top style="thin">
        <color auto="1"/>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s>
  <cellStyleXfs count="14">
    <xf numFmtId="0" fontId="0" fillId="0" borderId="0"/>
    <xf numFmtId="43" fontId="1" fillId="0" borderId="0" applyFont="0" applyFill="0" applyBorder="0" applyAlignment="0" applyProtection="0"/>
    <xf numFmtId="9" fontId="1" fillId="0" borderId="0" applyFont="0" applyFill="0" applyBorder="0" applyAlignment="0" applyProtection="0"/>
    <xf numFmtId="0" fontId="14" fillId="0" borderId="0"/>
    <xf numFmtId="38" fontId="25" fillId="2" borderId="2">
      <alignment vertical="top" wrapText="1"/>
    </xf>
    <xf numFmtId="38" fontId="30" fillId="3" borderId="2">
      <alignment vertical="top" wrapText="1"/>
    </xf>
    <xf numFmtId="38" fontId="14" fillId="2" borderId="2">
      <alignment horizontal="left" vertical="top" wrapText="1" indent="1"/>
    </xf>
    <xf numFmtId="38" fontId="40" fillId="0" borderId="4">
      <alignment vertical="top" wrapText="1"/>
    </xf>
    <xf numFmtId="0" fontId="14" fillId="0" borderId="0"/>
    <xf numFmtId="43" fontId="14" fillId="0" borderId="0" applyFont="0" applyFill="0" applyBorder="0" applyAlignment="0" applyProtection="0"/>
    <xf numFmtId="0" fontId="1" fillId="0" borderId="0"/>
    <xf numFmtId="0" fontId="1" fillId="0" borderId="0"/>
    <xf numFmtId="43" fontId="14" fillId="0" borderId="0" applyFont="0" applyFill="0" applyBorder="0" applyAlignment="0" applyProtection="0"/>
    <xf numFmtId="0" fontId="14" fillId="0" borderId="0"/>
  </cellStyleXfs>
  <cellXfs count="448">
    <xf numFmtId="0" fontId="0" fillId="0" borderId="0" xfId="0"/>
    <xf numFmtId="43" fontId="10" fillId="4" borderId="1" xfId="0" applyNumberFormat="1" applyFont="1" applyFill="1" applyBorder="1" applyAlignment="1" applyProtection="1">
      <alignment vertical="center"/>
      <protection locked="0"/>
    </xf>
    <xf numFmtId="0" fontId="38" fillId="4" borderId="0" xfId="0" quotePrefix="1" applyFont="1" applyFill="1" applyAlignment="1">
      <alignment horizontal="right" vertical="center"/>
    </xf>
    <xf numFmtId="0" fontId="38" fillId="4" borderId="1" xfId="0" quotePrefix="1" applyFont="1" applyFill="1" applyBorder="1" applyAlignment="1">
      <alignment horizontal="right" vertical="center"/>
    </xf>
    <xf numFmtId="166" fontId="10" fillId="4" borderId="1" xfId="1" applyNumberFormat="1" applyFont="1" applyFill="1" applyBorder="1" applyAlignment="1" applyProtection="1">
      <alignment vertical="center"/>
      <protection locked="0"/>
    </xf>
    <xf numFmtId="0" fontId="10" fillId="4" borderId="0" xfId="0" quotePrefix="1" applyFont="1" applyFill="1" applyAlignment="1">
      <alignment horizontal="right" vertical="center"/>
    </xf>
    <xf numFmtId="38" fontId="22" fillId="4" borderId="0" xfId="5" applyFont="1" applyFill="1" applyBorder="1" applyAlignment="1">
      <alignment vertical="center" wrapText="1"/>
    </xf>
    <xf numFmtId="43" fontId="10" fillId="4" borderId="0" xfId="0" applyNumberFormat="1" applyFont="1" applyFill="1" applyAlignment="1">
      <alignment vertical="center"/>
    </xf>
    <xf numFmtId="0" fontId="12" fillId="4" borderId="0" xfId="0" applyFont="1" applyFill="1" applyAlignment="1">
      <alignment vertical="center"/>
    </xf>
    <xf numFmtId="0" fontId="10" fillId="4" borderId="0" xfId="0" applyFont="1" applyFill="1" applyAlignment="1">
      <alignment horizontal="right" vertical="center"/>
    </xf>
    <xf numFmtId="0" fontId="11" fillId="4" borderId="0" xfId="0" applyFont="1" applyFill="1" applyAlignment="1">
      <alignment vertical="center"/>
    </xf>
    <xf numFmtId="0" fontId="10" fillId="4" borderId="0" xfId="0" applyFont="1" applyFill="1" applyAlignment="1">
      <alignment vertical="center"/>
    </xf>
    <xf numFmtId="0" fontId="52" fillId="5" borderId="1" xfId="0" applyFont="1" applyFill="1" applyBorder="1" applyAlignment="1">
      <alignment vertical="center"/>
    </xf>
    <xf numFmtId="0" fontId="0" fillId="4" borderId="0" xfId="0" applyFill="1" applyAlignment="1">
      <alignment vertical="center"/>
    </xf>
    <xf numFmtId="0" fontId="9" fillId="4" borderId="0" xfId="0" applyFont="1" applyFill="1" applyAlignment="1">
      <alignment vertical="center"/>
    </xf>
    <xf numFmtId="0" fontId="10" fillId="4" borderId="0" xfId="0" applyFont="1" applyFill="1" applyAlignment="1">
      <alignment horizontal="left" vertical="center"/>
    </xf>
    <xf numFmtId="0" fontId="13" fillId="4" borderId="0" xfId="0" applyFont="1" applyFill="1" applyAlignment="1">
      <alignment vertical="center"/>
    </xf>
    <xf numFmtId="0" fontId="15" fillId="4" borderId="1" xfId="3" applyFont="1" applyFill="1" applyBorder="1" applyAlignment="1">
      <alignment vertical="center"/>
    </xf>
    <xf numFmtId="0" fontId="52" fillId="4" borderId="0" xfId="0" applyFont="1" applyFill="1" applyAlignment="1">
      <alignment vertical="center"/>
    </xf>
    <xf numFmtId="0" fontId="16" fillId="4" borderId="0" xfId="0" applyFont="1" applyFill="1" applyAlignment="1">
      <alignment vertical="center"/>
    </xf>
    <xf numFmtId="0" fontId="19" fillId="4" borderId="0" xfId="0" applyFont="1" applyFill="1" applyAlignment="1">
      <alignment horizontal="left" vertical="center"/>
    </xf>
    <xf numFmtId="0" fontId="20" fillId="4" borderId="0" xfId="0" applyFont="1" applyFill="1" applyAlignment="1">
      <alignment vertical="center"/>
    </xf>
    <xf numFmtId="0" fontId="19" fillId="4" borderId="0" xfId="0" applyFont="1" applyFill="1" applyAlignment="1">
      <alignment vertical="center"/>
    </xf>
    <xf numFmtId="0" fontId="18" fillId="4" borderId="1" xfId="0" applyFont="1" applyFill="1" applyBorder="1" applyAlignment="1">
      <alignment vertical="center"/>
    </xf>
    <xf numFmtId="0" fontId="10" fillId="4" borderId="1" xfId="0" applyFont="1" applyFill="1" applyBorder="1" applyAlignment="1">
      <alignment horizontal="right" vertical="center"/>
    </xf>
    <xf numFmtId="0" fontId="10" fillId="4" borderId="1" xfId="0" quotePrefix="1" applyFont="1" applyFill="1" applyBorder="1" applyAlignment="1">
      <alignment horizontal="right" vertical="center"/>
    </xf>
    <xf numFmtId="43" fontId="22" fillId="4" borderId="1" xfId="1" applyFont="1" applyFill="1" applyBorder="1" applyAlignment="1" applyProtection="1">
      <alignment vertical="center" wrapText="1"/>
    </xf>
    <xf numFmtId="0" fontId="23" fillId="4" borderId="1" xfId="0" applyFont="1" applyFill="1" applyBorder="1" applyAlignment="1">
      <alignment vertical="center" wrapText="1"/>
    </xf>
    <xf numFmtId="43" fontId="10" fillId="4" borderId="1" xfId="1" applyFont="1" applyFill="1" applyBorder="1" applyAlignment="1" applyProtection="1">
      <alignment vertical="center"/>
      <protection locked="0"/>
    </xf>
    <xf numFmtId="0" fontId="24" fillId="4" borderId="1" xfId="0" applyFont="1" applyFill="1" applyBorder="1" applyAlignment="1">
      <alignment vertical="center" wrapText="1"/>
    </xf>
    <xf numFmtId="38" fontId="26" fillId="4" borderId="1" xfId="4" applyFont="1" applyFill="1" applyBorder="1" applyAlignment="1">
      <alignment vertical="center" wrapText="1"/>
    </xf>
    <xf numFmtId="43" fontId="27" fillId="4" borderId="1" xfId="1" applyFont="1" applyFill="1" applyBorder="1" applyAlignment="1" applyProtection="1">
      <alignment vertical="center" wrapText="1"/>
    </xf>
    <xf numFmtId="43" fontId="10" fillId="4" borderId="1" xfId="1" applyFont="1" applyFill="1" applyBorder="1" applyAlignment="1" applyProtection="1">
      <alignment vertical="center"/>
    </xf>
    <xf numFmtId="43" fontId="28" fillId="4" borderId="1" xfId="1" applyFont="1" applyFill="1" applyBorder="1" applyAlignment="1" applyProtection="1">
      <alignment vertical="center" wrapText="1"/>
    </xf>
    <xf numFmtId="43" fontId="0" fillId="4" borderId="1" xfId="1" applyFont="1" applyFill="1" applyBorder="1" applyAlignment="1" applyProtection="1">
      <alignment vertical="center"/>
      <protection locked="0"/>
    </xf>
    <xf numFmtId="43" fontId="22" fillId="4" borderId="1" xfId="1" applyFont="1" applyFill="1" applyBorder="1" applyAlignment="1" applyProtection="1">
      <alignment horizontal="left" vertical="center" wrapText="1"/>
    </xf>
    <xf numFmtId="43" fontId="28" fillId="4" borderId="1" xfId="1" applyFont="1" applyFill="1" applyBorder="1" applyAlignment="1" applyProtection="1">
      <alignment horizontal="left" vertical="center" wrapText="1"/>
    </xf>
    <xf numFmtId="38" fontId="27" fillId="4" borderId="1" xfId="5" applyFont="1" applyFill="1" applyBorder="1" applyAlignment="1">
      <alignment vertical="center" wrapText="1"/>
    </xf>
    <xf numFmtId="38" fontId="28" fillId="4" borderId="1" xfId="6" applyFont="1" applyFill="1" applyBorder="1" applyAlignment="1">
      <alignment horizontal="left" vertical="center" wrapText="1"/>
    </xf>
    <xf numFmtId="38" fontId="27" fillId="4" borderId="1" xfId="6" applyFont="1" applyFill="1" applyBorder="1" applyAlignment="1">
      <alignment horizontal="left" vertical="center" wrapText="1"/>
    </xf>
    <xf numFmtId="0" fontId="33" fillId="4" borderId="0" xfId="0" applyFont="1" applyFill="1" applyAlignment="1">
      <alignment vertical="center"/>
    </xf>
    <xf numFmtId="0" fontId="18" fillId="7" borderId="1" xfId="0" applyFont="1" applyFill="1" applyBorder="1" applyAlignment="1">
      <alignment vertical="center"/>
    </xf>
    <xf numFmtId="0" fontId="21" fillId="7" borderId="1" xfId="0" applyFont="1" applyFill="1" applyBorder="1" applyAlignment="1">
      <alignment vertical="center"/>
    </xf>
    <xf numFmtId="0" fontId="10" fillId="7" borderId="1" xfId="0" applyFont="1" applyFill="1" applyBorder="1" applyAlignment="1">
      <alignment horizontal="right" vertical="center"/>
    </xf>
    <xf numFmtId="0" fontId="21" fillId="7" borderId="1" xfId="0" applyFont="1" applyFill="1" applyBorder="1" applyAlignment="1">
      <alignment horizontal="center" vertical="center"/>
    </xf>
    <xf numFmtId="43" fontId="18" fillId="5" borderId="1" xfId="1" applyFont="1" applyFill="1" applyBorder="1" applyAlignment="1" applyProtection="1">
      <alignment vertical="center"/>
    </xf>
    <xf numFmtId="0" fontId="52" fillId="5" borderId="1" xfId="0" applyFont="1" applyFill="1" applyBorder="1" applyAlignment="1">
      <alignment horizontal="center" vertical="center"/>
    </xf>
    <xf numFmtId="0" fontId="35" fillId="5" borderId="1" xfId="0" applyFont="1" applyFill="1" applyBorder="1" applyAlignment="1">
      <alignment vertical="center"/>
    </xf>
    <xf numFmtId="0" fontId="24" fillId="4" borderId="0" xfId="0" applyFont="1" applyFill="1" applyAlignment="1">
      <alignment vertical="center"/>
    </xf>
    <xf numFmtId="0" fontId="36" fillId="4" borderId="0" xfId="0" applyFont="1" applyFill="1" applyAlignment="1">
      <alignment vertical="center"/>
    </xf>
    <xf numFmtId="0" fontId="10" fillId="4" borderId="1" xfId="0" applyFont="1" applyFill="1" applyBorder="1" applyAlignment="1">
      <alignment vertical="center"/>
    </xf>
    <xf numFmtId="0" fontId="18" fillId="4" borderId="0" xfId="0" applyFont="1" applyFill="1" applyAlignment="1">
      <alignment vertical="center"/>
    </xf>
    <xf numFmtId="165" fontId="10" fillId="4" borderId="1" xfId="0" applyNumberFormat="1" applyFont="1" applyFill="1" applyBorder="1" applyAlignment="1">
      <alignment horizontal="left" vertical="center"/>
    </xf>
    <xf numFmtId="38" fontId="37" fillId="4" borderId="1" xfId="4" applyFont="1" applyFill="1" applyBorder="1" applyAlignment="1">
      <alignment vertical="center" wrapText="1"/>
    </xf>
    <xf numFmtId="38" fontId="28" fillId="4" borderId="1" xfId="4" applyFont="1" applyFill="1" applyBorder="1" applyAlignment="1">
      <alignment vertical="center" wrapText="1"/>
    </xf>
    <xf numFmtId="43" fontId="10" fillId="4" borderId="1" xfId="0" applyNumberFormat="1" applyFont="1" applyFill="1" applyBorder="1" applyAlignment="1">
      <alignment vertical="center"/>
    </xf>
    <xf numFmtId="43" fontId="38" fillId="4" borderId="1" xfId="0" applyNumberFormat="1" applyFont="1" applyFill="1" applyBorder="1" applyAlignment="1" applyProtection="1">
      <alignment vertical="center"/>
      <protection locked="0"/>
    </xf>
    <xf numFmtId="38" fontId="28" fillId="4" borderId="1" xfId="7" applyFont="1" applyFill="1" applyBorder="1" applyAlignment="1">
      <alignment vertical="center" wrapText="1"/>
    </xf>
    <xf numFmtId="38" fontId="22" fillId="4" borderId="1" xfId="4" applyFont="1" applyFill="1" applyBorder="1" applyAlignment="1">
      <alignment vertical="center" wrapText="1"/>
    </xf>
    <xf numFmtId="0" fontId="41" fillId="4" borderId="1" xfId="0" applyFont="1" applyFill="1" applyBorder="1" applyAlignment="1">
      <alignment vertical="center"/>
    </xf>
    <xf numFmtId="0" fontId="36" fillId="4" borderId="1" xfId="0" applyFont="1" applyFill="1" applyBorder="1" applyAlignment="1">
      <alignment vertical="center"/>
    </xf>
    <xf numFmtId="43" fontId="38" fillId="4" borderId="1" xfId="1" applyFont="1" applyFill="1" applyBorder="1" applyAlignment="1" applyProtection="1">
      <alignment vertical="center"/>
      <protection locked="0"/>
    </xf>
    <xf numFmtId="43" fontId="10" fillId="5" borderId="1" xfId="0" applyNumberFormat="1" applyFont="1" applyFill="1" applyBorder="1" applyAlignment="1">
      <alignment vertical="center"/>
    </xf>
    <xf numFmtId="43" fontId="18" fillId="5" borderId="1" xfId="0" applyNumberFormat="1" applyFont="1" applyFill="1" applyBorder="1" applyAlignment="1">
      <alignment vertical="center"/>
    </xf>
    <xf numFmtId="0" fontId="18" fillId="7" borderId="1" xfId="0" applyFont="1" applyFill="1" applyBorder="1" applyAlignment="1">
      <alignment horizontal="right" vertical="center"/>
    </xf>
    <xf numFmtId="38" fontId="15" fillId="7" borderId="1" xfId="4" applyFont="1" applyFill="1" applyBorder="1" applyAlignment="1">
      <alignment vertical="center" wrapText="1"/>
    </xf>
    <xf numFmtId="38" fontId="27" fillId="7" borderId="1" xfId="4" applyFont="1" applyFill="1" applyBorder="1" applyAlignment="1">
      <alignment vertical="center" wrapText="1"/>
    </xf>
    <xf numFmtId="38" fontId="27" fillId="7" borderId="1" xfId="4" applyFont="1" applyFill="1" applyBorder="1" applyAlignment="1">
      <alignment horizontal="center" vertical="center" wrapText="1"/>
    </xf>
    <xf numFmtId="0" fontId="38" fillId="4" borderId="0" xfId="0" applyFont="1" applyFill="1" applyAlignment="1">
      <alignment vertical="center"/>
    </xf>
    <xf numFmtId="166" fontId="38" fillId="4" borderId="1" xfId="1" applyNumberFormat="1" applyFont="1" applyFill="1" applyBorder="1" applyAlignment="1" applyProtection="1">
      <alignment vertical="center"/>
      <protection locked="0"/>
    </xf>
    <xf numFmtId="43" fontId="45" fillId="5" borderId="1" xfId="1" applyFont="1" applyFill="1" applyBorder="1" applyAlignment="1" applyProtection="1">
      <alignment vertical="center"/>
    </xf>
    <xf numFmtId="0" fontId="23" fillId="4" borderId="1" xfId="0" applyFont="1" applyFill="1" applyBorder="1" applyAlignment="1">
      <alignment horizontal="left" vertical="center" wrapText="1"/>
    </xf>
    <xf numFmtId="38" fontId="22" fillId="4" borderId="1" xfId="5" applyFont="1" applyFill="1" applyBorder="1" applyAlignment="1">
      <alignment vertical="center" wrapText="1"/>
    </xf>
    <xf numFmtId="38" fontId="28" fillId="4" borderId="1" xfId="5" applyFont="1" applyFill="1" applyBorder="1" applyAlignment="1">
      <alignment vertical="center" wrapText="1"/>
    </xf>
    <xf numFmtId="0" fontId="36" fillId="7" borderId="1" xfId="0" applyFont="1" applyFill="1" applyBorder="1" applyAlignment="1">
      <alignment vertical="center"/>
    </xf>
    <xf numFmtId="166" fontId="10" fillId="7" borderId="1" xfId="1" applyNumberFormat="1" applyFont="1" applyFill="1" applyBorder="1" applyAlignment="1" applyProtection="1">
      <alignment vertical="center"/>
    </xf>
    <xf numFmtId="0" fontId="32" fillId="4" borderId="3"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24" fillId="4" borderId="3" xfId="0" applyFont="1" applyFill="1" applyBorder="1" applyAlignment="1">
      <alignment vertical="center" wrapText="1"/>
    </xf>
    <xf numFmtId="0" fontId="44" fillId="4" borderId="1" xfId="0" applyFont="1" applyFill="1" applyBorder="1" applyAlignment="1">
      <alignment horizontal="left" vertical="center" wrapText="1"/>
    </xf>
    <xf numFmtId="0" fontId="24" fillId="4" borderId="0" xfId="0" applyFont="1" applyFill="1" applyAlignment="1">
      <alignment vertical="center" wrapText="1"/>
    </xf>
    <xf numFmtId="0" fontId="23" fillId="4" borderId="0" xfId="0" applyFont="1" applyFill="1" applyAlignment="1">
      <alignment vertical="center" wrapText="1"/>
    </xf>
    <xf numFmtId="0" fontId="42" fillId="4" borderId="0" xfId="0" applyFont="1" applyFill="1" applyAlignment="1">
      <alignment vertical="center" wrapText="1"/>
    </xf>
    <xf numFmtId="0" fontId="49" fillId="4" borderId="1" xfId="0" applyFont="1" applyFill="1" applyBorder="1" applyAlignment="1">
      <alignment vertical="center" wrapText="1"/>
    </xf>
    <xf numFmtId="0" fontId="49" fillId="4" borderId="0" xfId="0" applyFont="1" applyFill="1" applyAlignment="1">
      <alignment vertical="center" wrapText="1"/>
    </xf>
    <xf numFmtId="0" fontId="50" fillId="4" borderId="0" xfId="0" applyFont="1" applyFill="1" applyAlignment="1">
      <alignment vertical="center" wrapText="1"/>
    </xf>
    <xf numFmtId="0" fontId="0" fillId="4" borderId="0" xfId="0" applyFill="1" applyAlignment="1">
      <alignment horizontal="center" vertical="center"/>
    </xf>
    <xf numFmtId="43" fontId="15" fillId="10" borderId="1" xfId="1" applyFont="1" applyFill="1" applyBorder="1" applyAlignment="1" applyProtection="1">
      <alignment vertical="center" wrapText="1"/>
    </xf>
    <xf numFmtId="43" fontId="27" fillId="10" borderId="1" xfId="1" applyFont="1" applyFill="1" applyBorder="1" applyAlignment="1" applyProtection="1">
      <alignment vertical="center" wrapText="1"/>
    </xf>
    <xf numFmtId="0" fontId="18" fillId="10" borderId="1" xfId="0" applyFont="1" applyFill="1" applyBorder="1" applyAlignment="1">
      <alignment horizontal="right" vertical="center"/>
    </xf>
    <xf numFmtId="43" fontId="18" fillId="10" borderId="1" xfId="1" applyFont="1" applyFill="1" applyBorder="1" applyAlignment="1" applyProtection="1">
      <alignment vertical="center"/>
    </xf>
    <xf numFmtId="0" fontId="15" fillId="10" borderId="1" xfId="0" applyFont="1" applyFill="1" applyBorder="1" applyAlignment="1">
      <alignment horizontal="right" vertical="center"/>
    </xf>
    <xf numFmtId="38" fontId="15" fillId="10" borderId="1" xfId="4" applyFont="1" applyFill="1" applyBorder="1" applyAlignment="1">
      <alignment vertical="center" wrapText="1"/>
    </xf>
    <xf numFmtId="38" fontId="39" fillId="10" borderId="1" xfId="4" applyFont="1" applyFill="1" applyBorder="1" applyAlignment="1">
      <alignment vertical="center" wrapText="1"/>
    </xf>
    <xf numFmtId="43" fontId="15" fillId="10" borderId="1" xfId="0" applyNumberFormat="1" applyFont="1" applyFill="1" applyBorder="1" applyAlignment="1">
      <alignment vertical="center"/>
    </xf>
    <xf numFmtId="0" fontId="18" fillId="10" borderId="1" xfId="0" applyFont="1" applyFill="1" applyBorder="1" applyAlignment="1">
      <alignment vertical="center"/>
    </xf>
    <xf numFmtId="0" fontId="21" fillId="10" borderId="1" xfId="0" applyFont="1" applyFill="1" applyBorder="1" applyAlignment="1">
      <alignment vertical="center"/>
    </xf>
    <xf numFmtId="43" fontId="18" fillId="10" borderId="1" xfId="0" applyNumberFormat="1" applyFont="1" applyFill="1" applyBorder="1" applyAlignment="1">
      <alignment vertical="center"/>
    </xf>
    <xf numFmtId="0" fontId="32" fillId="10" borderId="1" xfId="0" applyFont="1" applyFill="1" applyBorder="1" applyAlignment="1">
      <alignment vertical="center" wrapText="1"/>
    </xf>
    <xf numFmtId="38" fontId="22" fillId="10" borderId="1" xfId="5" applyFont="1" applyFill="1" applyBorder="1" applyAlignment="1">
      <alignment vertical="center" wrapText="1"/>
    </xf>
    <xf numFmtId="38" fontId="28" fillId="10" borderId="1" xfId="5" applyFont="1" applyFill="1" applyBorder="1" applyAlignment="1">
      <alignment vertical="center" wrapText="1"/>
    </xf>
    <xf numFmtId="166" fontId="10" fillId="10" borderId="1" xfId="1" applyNumberFormat="1" applyFont="1" applyFill="1" applyBorder="1" applyAlignment="1" applyProtection="1">
      <alignment vertical="center"/>
    </xf>
    <xf numFmtId="0" fontId="48" fillId="10" borderId="1" xfId="0" quotePrefix="1" applyFont="1" applyFill="1" applyBorder="1" applyAlignment="1">
      <alignment horizontal="right" vertical="center" wrapText="1"/>
    </xf>
    <xf numFmtId="0" fontId="47" fillId="10" borderId="1" xfId="0" applyFont="1" applyFill="1" applyBorder="1" applyAlignment="1">
      <alignment vertical="center" wrapText="1"/>
    </xf>
    <xf numFmtId="0" fontId="5" fillId="11" borderId="1" xfId="0" applyFont="1" applyFill="1" applyBorder="1" applyAlignment="1">
      <alignment vertical="center" wrapText="1"/>
    </xf>
    <xf numFmtId="0" fontId="5" fillId="10" borderId="1" xfId="0" applyFont="1" applyFill="1" applyBorder="1" applyAlignment="1">
      <alignment vertical="center" wrapText="1"/>
    </xf>
    <xf numFmtId="0" fontId="0" fillId="9" borderId="1" xfId="0" applyFill="1" applyBorder="1" applyAlignment="1">
      <alignment vertical="center" wrapText="1"/>
    </xf>
    <xf numFmtId="0" fontId="4" fillId="9" borderId="1" xfId="0" applyFont="1" applyFill="1" applyBorder="1" applyAlignment="1">
      <alignment vertical="center" wrapText="1"/>
    </xf>
    <xf numFmtId="0" fontId="0" fillId="4" borderId="0" xfId="0" applyFill="1" applyAlignment="1">
      <alignment vertical="center" wrapText="1"/>
    </xf>
    <xf numFmtId="164" fontId="0" fillId="7" borderId="1" xfId="0" applyNumberFormat="1" applyFill="1" applyBorder="1" applyAlignment="1">
      <alignment vertical="center" wrapText="1"/>
    </xf>
    <xf numFmtId="17" fontId="0" fillId="7" borderId="1" xfId="0" applyNumberFormat="1" applyFill="1" applyBorder="1" applyAlignment="1">
      <alignment vertical="center" wrapText="1"/>
    </xf>
    <xf numFmtId="0" fontId="0" fillId="11" borderId="1" xfId="0" applyFill="1" applyBorder="1" applyAlignment="1">
      <alignment vertical="center" wrapText="1"/>
    </xf>
    <xf numFmtId="0" fontId="0" fillId="10" borderId="1" xfId="0" applyFill="1" applyBorder="1" applyAlignment="1">
      <alignment vertical="center" wrapText="1"/>
    </xf>
    <xf numFmtId="0" fontId="0" fillId="4" borderId="0" xfId="0" applyFill="1"/>
    <xf numFmtId="0" fontId="0" fillId="4" borderId="0" xfId="0" applyFill="1" applyAlignment="1">
      <alignment wrapText="1"/>
    </xf>
    <xf numFmtId="0" fontId="55" fillId="6" borderId="1" xfId="0" applyFont="1" applyFill="1" applyBorder="1" applyAlignment="1">
      <alignment wrapText="1"/>
    </xf>
    <xf numFmtId="0" fontId="0" fillId="6" borderId="1" xfId="0" applyFill="1" applyBorder="1" applyAlignment="1">
      <alignment vertical="center" wrapText="1"/>
    </xf>
    <xf numFmtId="0" fontId="0" fillId="4" borderId="0" xfId="0" applyFill="1" applyAlignment="1">
      <alignment horizontal="center" vertical="center" wrapText="1"/>
    </xf>
    <xf numFmtId="0" fontId="2" fillId="8" borderId="1" xfId="0" applyFont="1" applyFill="1" applyBorder="1" applyAlignment="1">
      <alignment vertical="center" wrapText="1"/>
    </xf>
    <xf numFmtId="0" fontId="53" fillId="8" borderId="1" xfId="0" applyFont="1" applyFill="1" applyBorder="1" applyAlignment="1">
      <alignment vertical="center" wrapText="1"/>
    </xf>
    <xf numFmtId="0" fontId="54" fillId="8" borderId="1" xfId="0" applyFont="1" applyFill="1" applyBorder="1" applyAlignment="1">
      <alignment vertical="center" wrapText="1"/>
    </xf>
    <xf numFmtId="0" fontId="56" fillId="8" borderId="1" xfId="0" applyFont="1" applyFill="1" applyBorder="1" applyAlignment="1">
      <alignment horizontal="center" vertical="center" wrapText="1"/>
    </xf>
    <xf numFmtId="0" fontId="3" fillId="4" borderId="0" xfId="0" applyFont="1" applyFill="1" applyAlignment="1">
      <alignment vertical="center" wrapText="1"/>
    </xf>
    <xf numFmtId="164" fontId="3" fillId="4" borderId="0" xfId="0" applyNumberFormat="1" applyFont="1" applyFill="1" applyAlignment="1">
      <alignment horizontal="left" vertical="center" wrapText="1"/>
    </xf>
    <xf numFmtId="0" fontId="3" fillId="9" borderId="1" xfId="0" applyFont="1" applyFill="1" applyBorder="1" applyAlignment="1">
      <alignment horizontal="center" vertical="center"/>
    </xf>
    <xf numFmtId="0" fontId="46" fillId="7" borderId="1" xfId="0" applyFont="1" applyFill="1" applyBorder="1" applyAlignment="1">
      <alignment vertical="center"/>
    </xf>
    <xf numFmtId="38" fontId="26" fillId="10" borderId="1" xfId="5" applyFont="1" applyFill="1" applyBorder="1" applyAlignment="1">
      <alignment vertical="center" wrapText="1"/>
    </xf>
    <xf numFmtId="0" fontId="32" fillId="4" borderId="1" xfId="0" applyFont="1" applyFill="1" applyBorder="1" applyAlignment="1" applyProtection="1">
      <alignment horizontal="left" vertical="center"/>
      <protection locked="0"/>
    </xf>
    <xf numFmtId="14" fontId="57" fillId="4" borderId="0" xfId="0" applyNumberFormat="1" applyFont="1" applyFill="1" applyAlignment="1">
      <alignment vertical="center"/>
    </xf>
    <xf numFmtId="14" fontId="0" fillId="4" borderId="0" xfId="0" applyNumberFormat="1" applyFill="1" applyAlignment="1">
      <alignment vertical="center"/>
    </xf>
    <xf numFmtId="0" fontId="46" fillId="4" borderId="1" xfId="0" applyFont="1" applyFill="1" applyBorder="1" applyAlignment="1">
      <alignment horizontal="left" vertical="center"/>
    </xf>
    <xf numFmtId="0" fontId="18" fillId="4" borderId="1" xfId="0" applyFont="1" applyFill="1" applyBorder="1" applyAlignment="1" applyProtection="1">
      <alignment vertical="center"/>
      <protection locked="0"/>
    </xf>
    <xf numFmtId="165" fontId="18" fillId="4" borderId="1" xfId="0" quotePrefix="1" applyNumberFormat="1" applyFont="1" applyFill="1" applyBorder="1" applyAlignment="1">
      <alignment horizontal="left" vertical="center"/>
    </xf>
    <xf numFmtId="165" fontId="10" fillId="4" borderId="1" xfId="0" quotePrefix="1" applyNumberFormat="1" applyFont="1" applyFill="1" applyBorder="1" applyAlignment="1">
      <alignment horizontal="left" vertical="center"/>
    </xf>
    <xf numFmtId="0" fontId="24" fillId="4" borderId="1" xfId="0" applyFont="1" applyFill="1" applyBorder="1" applyAlignment="1">
      <alignment horizontal="left" vertical="center"/>
    </xf>
    <xf numFmtId="0" fontId="22" fillId="4" borderId="1" xfId="0" applyFont="1" applyFill="1" applyBorder="1" applyAlignment="1">
      <alignment horizontal="left" vertical="center"/>
    </xf>
    <xf numFmtId="0" fontId="48" fillId="4" borderId="1" xfId="0" applyFont="1" applyFill="1" applyBorder="1" applyAlignment="1">
      <alignment horizontal="left" vertical="center"/>
    </xf>
    <xf numFmtId="0" fontId="37" fillId="4" borderId="1" xfId="0" applyFont="1" applyFill="1" applyBorder="1" applyAlignment="1">
      <alignment horizontal="left" vertical="center"/>
    </xf>
    <xf numFmtId="0" fontId="22" fillId="4" borderId="0" xfId="0" applyFont="1" applyFill="1" applyAlignment="1">
      <alignment vertical="center"/>
    </xf>
    <xf numFmtId="165" fontId="18" fillId="4" borderId="1" xfId="0" quotePrefix="1" applyNumberFormat="1" applyFont="1" applyFill="1" applyBorder="1" applyAlignment="1" applyProtection="1">
      <alignment horizontal="left" vertical="center"/>
      <protection locked="0"/>
    </xf>
    <xf numFmtId="0" fontId="45" fillId="10" borderId="1" xfId="0" applyFont="1" applyFill="1" applyBorder="1" applyAlignment="1">
      <alignment vertical="center"/>
    </xf>
    <xf numFmtId="43" fontId="10" fillId="12" borderId="1" xfId="0" applyNumberFormat="1" applyFont="1" applyFill="1" applyBorder="1" applyAlignment="1">
      <alignment vertical="center"/>
    </xf>
    <xf numFmtId="0" fontId="7" fillId="4" borderId="0" xfId="0" applyFont="1" applyFill="1" applyAlignment="1">
      <alignment vertical="center"/>
    </xf>
    <xf numFmtId="166" fontId="58" fillId="4" borderId="0" xfId="1" applyNumberFormat="1" applyFont="1" applyFill="1" applyBorder="1" applyAlignment="1" applyProtection="1">
      <alignment vertical="center"/>
    </xf>
    <xf numFmtId="43" fontId="0" fillId="4" borderId="0" xfId="0" applyNumberFormat="1" applyFill="1" applyAlignment="1">
      <alignment vertical="center"/>
    </xf>
    <xf numFmtId="43" fontId="10" fillId="0" borderId="0" xfId="1" applyFont="1" applyBorder="1" applyAlignment="1" applyProtection="1">
      <alignment horizontal="center" vertical="center"/>
    </xf>
    <xf numFmtId="0" fontId="0" fillId="0" borderId="0" xfId="0" applyAlignment="1">
      <alignment vertical="center"/>
    </xf>
    <xf numFmtId="43" fontId="10" fillId="0" borderId="1" xfId="0" applyNumberFormat="1" applyFont="1" applyBorder="1" applyAlignment="1" applyProtection="1">
      <alignment vertical="center"/>
      <protection locked="0"/>
    </xf>
    <xf numFmtId="43" fontId="10" fillId="16" borderId="1" xfId="1" applyFont="1" applyFill="1" applyBorder="1" applyAlignment="1" applyProtection="1">
      <alignment vertical="center"/>
    </xf>
    <xf numFmtId="38" fontId="31" fillId="4" borderId="1" xfId="4" applyFont="1" applyFill="1" applyBorder="1" applyAlignment="1">
      <alignment vertical="center" wrapText="1"/>
    </xf>
    <xf numFmtId="38" fontId="28" fillId="4" borderId="0" xfId="5" applyFont="1" applyFill="1" applyBorder="1" applyAlignment="1">
      <alignment vertical="center" wrapText="1"/>
    </xf>
    <xf numFmtId="43" fontId="10" fillId="13" borderId="1" xfId="0" applyNumberFormat="1" applyFont="1" applyFill="1" applyBorder="1" applyAlignment="1">
      <alignment vertical="center"/>
    </xf>
    <xf numFmtId="0" fontId="10" fillId="0" borderId="0" xfId="8" applyFont="1" applyAlignment="1">
      <alignment horizontal="center" vertical="center"/>
    </xf>
    <xf numFmtId="43" fontId="10" fillId="4" borderId="0" xfId="1" applyFont="1" applyFill="1" applyBorder="1" applyAlignment="1" applyProtection="1">
      <alignment horizontal="center" vertical="center"/>
    </xf>
    <xf numFmtId="0" fontId="8" fillId="4" borderId="0" xfId="0" applyFont="1" applyFill="1" applyAlignment="1">
      <alignment horizontal="center" vertical="center"/>
    </xf>
    <xf numFmtId="0" fontId="59" fillId="4" borderId="0" xfId="0" applyFont="1" applyFill="1" applyAlignment="1">
      <alignment vertical="center"/>
    </xf>
    <xf numFmtId="0" fontId="58" fillId="5" borderId="0" xfId="0" applyFont="1" applyFill="1" applyAlignment="1">
      <alignment vertical="center"/>
    </xf>
    <xf numFmtId="0" fontId="60" fillId="5" borderId="0" xfId="0" applyFont="1" applyFill="1" applyAlignment="1">
      <alignment horizontal="center" vertical="center"/>
    </xf>
    <xf numFmtId="0" fontId="52" fillId="4" borderId="0" xfId="0" applyFont="1" applyFill="1" applyAlignment="1">
      <alignment horizontal="center" vertical="center"/>
    </xf>
    <xf numFmtId="43" fontId="11" fillId="4" borderId="0" xfId="1" applyFont="1" applyFill="1" applyAlignment="1" applyProtection="1">
      <alignment vertical="center"/>
    </xf>
    <xf numFmtId="0" fontId="61" fillId="4" borderId="0" xfId="0" applyFont="1" applyFill="1" applyAlignment="1">
      <alignment vertical="center"/>
    </xf>
    <xf numFmtId="0" fontId="24" fillId="4" borderId="0" xfId="0" applyFont="1" applyFill="1" applyAlignment="1">
      <alignment horizontal="left" vertical="center"/>
    </xf>
    <xf numFmtId="165" fontId="10" fillId="4" borderId="0" xfId="0" quotePrefix="1" applyNumberFormat="1" applyFont="1" applyFill="1" applyAlignment="1">
      <alignment horizontal="left" vertical="center"/>
    </xf>
    <xf numFmtId="0" fontId="22" fillId="4" borderId="0" xfId="0" applyFont="1" applyFill="1" applyAlignment="1">
      <alignment horizontal="left" vertical="center"/>
    </xf>
    <xf numFmtId="43" fontId="0" fillId="0" borderId="0" xfId="1" applyFont="1" applyProtection="1"/>
    <xf numFmtId="0" fontId="52" fillId="5" borderId="0" xfId="0" applyFont="1" applyFill="1" applyAlignment="1">
      <alignment horizontal="center" vertical="center"/>
    </xf>
    <xf numFmtId="0" fontId="35" fillId="5" borderId="0" xfId="0" applyFont="1" applyFill="1" applyAlignment="1">
      <alignment horizontal="center" vertical="center"/>
    </xf>
    <xf numFmtId="43" fontId="0" fillId="4" borderId="0" xfId="1" applyFont="1" applyFill="1" applyProtection="1"/>
    <xf numFmtId="0" fontId="3" fillId="4" borderId="0" xfId="0" applyFont="1" applyFill="1"/>
    <xf numFmtId="0" fontId="0" fillId="0" borderId="0" xfId="0" applyAlignment="1">
      <alignment wrapText="1"/>
    </xf>
    <xf numFmtId="0" fontId="43" fillId="4" borderId="0" xfId="0" applyFont="1" applyFill="1" applyAlignment="1">
      <alignment vertical="center"/>
    </xf>
    <xf numFmtId="0" fontId="35" fillId="5" borderId="0" xfId="0" applyFont="1" applyFill="1" applyAlignment="1">
      <alignment vertical="center"/>
    </xf>
    <xf numFmtId="1" fontId="51" fillId="0" borderId="17" xfId="8" quotePrefix="1" applyNumberFormat="1" applyFont="1" applyBorder="1" applyAlignment="1">
      <alignment horizontal="right" wrapText="1"/>
    </xf>
    <xf numFmtId="10" fontId="51" fillId="0" borderId="32" xfId="8" quotePrefix="1" applyNumberFormat="1" applyFont="1" applyBorder="1" applyAlignment="1">
      <alignment horizontal="center" wrapText="1"/>
    </xf>
    <xf numFmtId="1" fontId="51" fillId="0" borderId="11" xfId="8" quotePrefix="1" applyNumberFormat="1" applyFont="1" applyBorder="1" applyAlignment="1">
      <alignment horizontal="right" wrapText="1"/>
    </xf>
    <xf numFmtId="10" fontId="51" fillId="0" borderId="12" xfId="8" quotePrefix="1" applyNumberFormat="1" applyFont="1" applyBorder="1" applyAlignment="1">
      <alignment horizontal="center" wrapText="1"/>
    </xf>
    <xf numFmtId="43" fontId="51" fillId="4" borderId="1" xfId="9" quotePrefix="1" applyFont="1" applyFill="1" applyBorder="1" applyAlignment="1" applyProtection="1">
      <alignment horizontal="center" wrapText="1"/>
      <protection locked="0"/>
    </xf>
    <xf numFmtId="1" fontId="51" fillId="0" borderId="1" xfId="8" quotePrefix="1" applyNumberFormat="1" applyFont="1" applyBorder="1" applyAlignment="1">
      <alignment horizontal="right" wrapText="1"/>
    </xf>
    <xf numFmtId="43" fontId="51" fillId="4" borderId="9" xfId="9" quotePrefix="1" applyFont="1" applyFill="1" applyBorder="1" applyAlignment="1" applyProtection="1">
      <alignment horizontal="center" wrapText="1"/>
      <protection locked="0"/>
    </xf>
    <xf numFmtId="43" fontId="51" fillId="4" borderId="0" xfId="9" quotePrefix="1" applyFont="1" applyFill="1" applyBorder="1" applyAlignment="1" applyProtection="1">
      <alignment horizontal="center" wrapText="1"/>
    </xf>
    <xf numFmtId="1" fontId="51" fillId="4" borderId="19" xfId="8" quotePrefix="1" applyNumberFormat="1" applyFont="1" applyFill="1" applyBorder="1" applyAlignment="1">
      <alignment horizontal="right" wrapText="1"/>
    </xf>
    <xf numFmtId="2" fontId="51" fillId="4" borderId="0" xfId="8" quotePrefix="1" applyNumberFormat="1" applyFont="1" applyFill="1" applyAlignment="1">
      <alignment horizontal="left" wrapText="1"/>
    </xf>
    <xf numFmtId="43" fontId="51" fillId="4" borderId="0" xfId="9" quotePrefix="1" applyFont="1" applyFill="1" applyBorder="1" applyAlignment="1" applyProtection="1">
      <alignment horizontal="left" wrapText="1"/>
    </xf>
    <xf numFmtId="43" fontId="22" fillId="4" borderId="18" xfId="9" quotePrefix="1" applyFont="1" applyFill="1" applyBorder="1" applyAlignment="1" applyProtection="1">
      <alignment horizontal="center" wrapText="1"/>
      <protection locked="0"/>
    </xf>
    <xf numFmtId="43" fontId="22" fillId="4" borderId="1" xfId="9" quotePrefix="1" applyFont="1" applyFill="1" applyBorder="1" applyAlignment="1" applyProtection="1">
      <alignment horizontal="center" wrapText="1"/>
      <protection locked="0"/>
    </xf>
    <xf numFmtId="43" fontId="22" fillId="4" borderId="9" xfId="9" quotePrefix="1" applyFont="1" applyFill="1" applyBorder="1" applyAlignment="1" applyProtection="1">
      <alignment horizontal="center" wrapText="1"/>
      <protection locked="0"/>
    </xf>
    <xf numFmtId="43" fontId="22" fillId="4" borderId="6" xfId="9" quotePrefix="1" applyFont="1" applyFill="1" applyBorder="1" applyAlignment="1" applyProtection="1">
      <alignment horizontal="center" wrapText="1"/>
      <protection locked="0"/>
    </xf>
    <xf numFmtId="10" fontId="51" fillId="4" borderId="0" xfId="8" quotePrefix="1" applyNumberFormat="1" applyFont="1" applyFill="1" applyAlignment="1">
      <alignment horizontal="center" wrapText="1"/>
    </xf>
    <xf numFmtId="1" fontId="51" fillId="4" borderId="0" xfId="8" quotePrefix="1" applyNumberFormat="1" applyFont="1" applyFill="1" applyAlignment="1">
      <alignment horizontal="right" wrapText="1"/>
    </xf>
    <xf numFmtId="2" fontId="39" fillId="4" borderId="0" xfId="8" quotePrefix="1" applyNumberFormat="1" applyFont="1" applyFill="1" applyAlignment="1">
      <alignment horizontal="left" wrapText="1"/>
    </xf>
    <xf numFmtId="10" fontId="51" fillId="4" borderId="0" xfId="8" quotePrefix="1" applyNumberFormat="1" applyFont="1" applyFill="1" applyAlignment="1">
      <alignment horizontal="left" wrapText="1"/>
    </xf>
    <xf numFmtId="43" fontId="39" fillId="4" borderId="0" xfId="9" quotePrefix="1" applyFont="1" applyFill="1" applyBorder="1" applyAlignment="1" applyProtection="1">
      <alignment horizontal="left" wrapText="1"/>
    </xf>
    <xf numFmtId="1" fontId="51" fillId="4" borderId="11" xfId="8" quotePrefix="1" applyNumberFormat="1" applyFont="1" applyFill="1" applyBorder="1" applyAlignment="1">
      <alignment horizontal="right" wrapText="1"/>
    </xf>
    <xf numFmtId="1" fontId="39" fillId="4" borderId="13" xfId="8" quotePrefix="1" applyNumberFormat="1" applyFont="1" applyFill="1" applyBorder="1" applyAlignment="1">
      <alignment horizontal="right" wrapText="1"/>
    </xf>
    <xf numFmtId="10" fontId="51" fillId="4" borderId="10" xfId="8" quotePrefix="1" applyNumberFormat="1" applyFont="1" applyFill="1" applyBorder="1" applyAlignment="1">
      <alignment horizontal="center" wrapText="1"/>
    </xf>
    <xf numFmtId="10" fontId="51" fillId="4" borderId="12" xfId="8" quotePrefix="1" applyNumberFormat="1" applyFont="1" applyFill="1" applyBorder="1" applyAlignment="1">
      <alignment horizontal="center" wrapText="1"/>
    </xf>
    <xf numFmtId="10" fontId="51" fillId="4" borderId="21" xfId="8" quotePrefix="1" applyNumberFormat="1" applyFont="1" applyFill="1" applyBorder="1" applyAlignment="1">
      <alignment horizontal="center" wrapText="1"/>
    </xf>
    <xf numFmtId="2" fontId="22" fillId="0" borderId="18" xfId="8" quotePrefix="1" applyNumberFormat="1" applyFont="1" applyBorder="1" applyAlignment="1">
      <alignment wrapText="1"/>
    </xf>
    <xf numFmtId="2" fontId="22" fillId="0" borderId="1" xfId="8" quotePrefix="1" applyNumberFormat="1" applyFont="1" applyBorder="1" applyAlignment="1">
      <alignment wrapText="1"/>
    </xf>
    <xf numFmtId="2" fontId="22" fillId="0" borderId="29" xfId="8" quotePrefix="1" applyNumberFormat="1" applyFont="1" applyBorder="1" applyAlignment="1">
      <alignment horizontal="left" wrapText="1"/>
    </xf>
    <xf numFmtId="2" fontId="22" fillId="0" borderId="5" xfId="8" quotePrefix="1" applyNumberFormat="1" applyFont="1" applyBorder="1" applyAlignment="1">
      <alignment horizontal="left" wrapText="1"/>
    </xf>
    <xf numFmtId="2" fontId="22" fillId="0" borderId="5" xfId="8" quotePrefix="1" applyNumberFormat="1" applyFont="1" applyBorder="1" applyAlignment="1">
      <alignment wrapText="1"/>
    </xf>
    <xf numFmtId="2" fontId="22" fillId="0" borderId="30" xfId="8" quotePrefix="1" applyNumberFormat="1" applyFont="1" applyBorder="1" applyAlignment="1">
      <alignment wrapText="1"/>
    </xf>
    <xf numFmtId="2" fontId="22" fillId="0" borderId="9" xfId="8" quotePrefix="1" applyNumberFormat="1" applyFont="1" applyBorder="1" applyAlignment="1">
      <alignment horizontal="left" wrapText="1"/>
    </xf>
    <xf numFmtId="2" fontId="22" fillId="0" borderId="1" xfId="8" quotePrefix="1" applyNumberFormat="1" applyFont="1" applyBorder="1" applyAlignment="1">
      <alignment horizontal="left" wrapText="1"/>
    </xf>
    <xf numFmtId="2" fontId="24" fillId="0" borderId="9" xfId="8" quotePrefix="1" applyNumberFormat="1" applyFont="1" applyBorder="1" applyAlignment="1">
      <alignment horizontal="left" wrapText="1"/>
    </xf>
    <xf numFmtId="2" fontId="24" fillId="0" borderId="1" xfId="8" quotePrefix="1" applyNumberFormat="1" applyFont="1" applyBorder="1" applyAlignment="1">
      <alignment horizontal="left" wrapText="1"/>
    </xf>
    <xf numFmtId="2" fontId="24" fillId="0" borderId="18" xfId="8" quotePrefix="1" applyNumberFormat="1" applyFont="1" applyBorder="1" applyAlignment="1">
      <alignment horizontal="left" wrapText="1"/>
    </xf>
    <xf numFmtId="10" fontId="51" fillId="0" borderId="10" xfId="8" quotePrefix="1" applyNumberFormat="1" applyFont="1" applyBorder="1" applyAlignment="1">
      <alignment horizontal="center" wrapText="1"/>
    </xf>
    <xf numFmtId="2" fontId="15" fillId="12" borderId="1" xfId="8" quotePrefix="1" applyNumberFormat="1" applyFont="1" applyFill="1" applyBorder="1" applyAlignment="1">
      <alignment horizontal="left" wrapText="1"/>
    </xf>
    <xf numFmtId="10" fontId="51" fillId="12" borderId="1" xfId="8" quotePrefix="1" applyNumberFormat="1" applyFont="1" applyFill="1" applyBorder="1" applyAlignment="1">
      <alignment horizontal="center" wrapText="1"/>
    </xf>
    <xf numFmtId="43" fontId="15" fillId="12" borderId="1" xfId="9" quotePrefix="1" applyFont="1" applyFill="1" applyBorder="1" applyAlignment="1" applyProtection="1">
      <alignment horizontal="left" wrapText="1"/>
    </xf>
    <xf numFmtId="2" fontId="15" fillId="12" borderId="30" xfId="8" quotePrefix="1" applyNumberFormat="1" applyFont="1" applyFill="1" applyBorder="1" applyAlignment="1">
      <alignment horizontal="left" wrapText="1" indent="2"/>
    </xf>
    <xf numFmtId="10" fontId="39" fillId="12" borderId="15" xfId="8" quotePrefix="1" applyNumberFormat="1" applyFont="1" applyFill="1" applyBorder="1" applyAlignment="1">
      <alignment horizontal="center" wrapText="1"/>
    </xf>
    <xf numFmtId="43" fontId="39" fillId="12" borderId="14" xfId="9" quotePrefix="1" applyFont="1" applyFill="1" applyBorder="1" applyAlignment="1" applyProtection="1">
      <alignment horizontal="center" wrapText="1"/>
    </xf>
    <xf numFmtId="2" fontId="15" fillId="12" borderId="14" xfId="8" quotePrefix="1" applyNumberFormat="1" applyFont="1" applyFill="1" applyBorder="1" applyAlignment="1">
      <alignment horizontal="left" wrapText="1"/>
    </xf>
    <xf numFmtId="43" fontId="15" fillId="12" borderId="14" xfId="9" quotePrefix="1" applyFont="1" applyFill="1" applyBorder="1" applyAlignment="1" applyProtection="1">
      <alignment horizontal="center" wrapText="1"/>
    </xf>
    <xf numFmtId="2" fontId="22" fillId="12" borderId="14" xfId="8" quotePrefix="1" applyNumberFormat="1" applyFont="1" applyFill="1" applyBorder="1" applyAlignment="1">
      <alignment horizontal="left" wrapText="1"/>
    </xf>
    <xf numFmtId="10" fontId="51" fillId="12" borderId="15" xfId="8" quotePrefix="1" applyNumberFormat="1" applyFont="1" applyFill="1" applyBorder="1" applyAlignment="1">
      <alignment horizontal="center" wrapText="1"/>
    </xf>
    <xf numFmtId="0" fontId="15" fillId="12" borderId="14" xfId="8" quotePrefix="1" applyFont="1" applyFill="1" applyBorder="1" applyAlignment="1">
      <alignment horizontal="left" wrapText="1" indent="2"/>
    </xf>
    <xf numFmtId="10" fontId="45" fillId="12" borderId="15" xfId="2" applyNumberFormat="1" applyFont="1" applyFill="1" applyBorder="1" applyAlignment="1" applyProtection="1">
      <alignment horizontal="center" wrapText="1"/>
    </xf>
    <xf numFmtId="43" fontId="45" fillId="12" borderId="14" xfId="8" applyNumberFormat="1" applyFont="1" applyFill="1" applyBorder="1" applyAlignment="1">
      <alignment horizontal="center" wrapText="1"/>
    </xf>
    <xf numFmtId="1" fontId="51" fillId="0" borderId="20" xfId="8" quotePrefix="1" applyNumberFormat="1" applyFont="1" applyBorder="1" applyAlignment="1">
      <alignment horizontal="right" wrapText="1"/>
    </xf>
    <xf numFmtId="1" fontId="51" fillId="0" borderId="13" xfId="8" quotePrefix="1" applyNumberFormat="1" applyFont="1" applyBorder="1" applyAlignment="1">
      <alignment horizontal="right" wrapText="1"/>
    </xf>
    <xf numFmtId="10" fontId="51" fillId="0" borderId="10" xfId="8" applyNumberFormat="1" applyFont="1" applyBorder="1" applyAlignment="1">
      <alignment horizontal="center" wrapText="1"/>
    </xf>
    <xf numFmtId="10" fontId="51" fillId="0" borderId="12" xfId="8" applyNumberFormat="1" applyFont="1" applyBorder="1" applyAlignment="1">
      <alignment horizontal="center" wrapText="1"/>
    </xf>
    <xf numFmtId="0" fontId="38" fillId="4" borderId="0" xfId="0" applyFont="1" applyFill="1"/>
    <xf numFmtId="0" fontId="38" fillId="0" borderId="0" xfId="0" applyFont="1"/>
    <xf numFmtId="4" fontId="64" fillId="0" borderId="23" xfId="10" applyNumberFormat="1" applyFont="1" applyBorder="1" applyAlignment="1">
      <alignment horizontal="left"/>
    </xf>
    <xf numFmtId="43" fontId="64" fillId="0" borderId="25" xfId="1" applyFont="1" applyFill="1" applyBorder="1" applyAlignment="1" applyProtection="1">
      <alignment horizontal="center"/>
    </xf>
    <xf numFmtId="43" fontId="64" fillId="4" borderId="35" xfId="1" applyFont="1" applyFill="1" applyBorder="1" applyAlignment="1" applyProtection="1">
      <alignment horizontal="center"/>
    </xf>
    <xf numFmtId="2" fontId="64" fillId="4" borderId="19" xfId="8" applyNumberFormat="1" applyFont="1" applyFill="1" applyBorder="1" applyAlignment="1">
      <alignment horizontal="center"/>
    </xf>
    <xf numFmtId="2" fontId="64" fillId="4" borderId="0" xfId="8" applyNumberFormat="1" applyFont="1" applyFill="1" applyAlignment="1">
      <alignment horizontal="center"/>
    </xf>
    <xf numFmtId="43" fontId="64" fillId="4" borderId="0" xfId="1" applyFont="1" applyFill="1" applyBorder="1" applyAlignment="1" applyProtection="1">
      <alignment horizontal="center"/>
    </xf>
    <xf numFmtId="43" fontId="51" fillId="4" borderId="21" xfId="1" applyFont="1" applyFill="1" applyBorder="1" applyAlignment="1" applyProtection="1">
      <alignment horizontal="center" wrapText="1"/>
      <protection locked="0"/>
    </xf>
    <xf numFmtId="0" fontId="63" fillId="4" borderId="19" xfId="8" applyFont="1" applyFill="1" applyBorder="1" applyAlignment="1">
      <alignment vertical="center"/>
    </xf>
    <xf numFmtId="0" fontId="10" fillId="4" borderId="0" xfId="8" applyFont="1" applyFill="1" applyAlignment="1">
      <alignment horizontal="center" vertical="center"/>
    </xf>
    <xf numFmtId="0" fontId="66" fillId="4" borderId="20" xfId="8" applyFont="1" applyFill="1" applyBorder="1" applyAlignment="1">
      <alignment horizontal="center"/>
    </xf>
    <xf numFmtId="0" fontId="39" fillId="4" borderId="22" xfId="8" applyFont="1" applyFill="1" applyBorder="1" applyAlignment="1">
      <alignment horizontal="center"/>
    </xf>
    <xf numFmtId="4" fontId="66" fillId="4" borderId="13" xfId="10" applyNumberFormat="1" applyFont="1" applyFill="1" applyBorder="1" applyAlignment="1">
      <alignment horizontal="left"/>
    </xf>
    <xf numFmtId="4" fontId="64" fillId="4" borderId="24" xfId="10" applyNumberFormat="1" applyFont="1" applyFill="1" applyBorder="1" applyAlignment="1">
      <alignment horizontal="left"/>
    </xf>
    <xf numFmtId="0" fontId="64" fillId="4" borderId="20" xfId="8" applyFont="1" applyFill="1" applyBorder="1" applyAlignment="1">
      <alignment horizontal="center"/>
    </xf>
    <xf numFmtId="0" fontId="62" fillId="4" borderId="22" xfId="8" applyFont="1" applyFill="1" applyBorder="1" applyAlignment="1">
      <alignment horizontal="center"/>
    </xf>
    <xf numFmtId="4" fontId="64" fillId="4" borderId="13" xfId="10" applyNumberFormat="1" applyFont="1" applyFill="1" applyBorder="1" applyAlignment="1">
      <alignment horizontal="left"/>
    </xf>
    <xf numFmtId="43" fontId="65" fillId="18" borderId="1" xfId="1" applyFont="1" applyFill="1" applyBorder="1" applyAlignment="1" applyProtection="1">
      <alignment horizontal="center" vertical="center"/>
    </xf>
    <xf numFmtId="0" fontId="45" fillId="18" borderId="1" xfId="11" applyFont="1" applyFill="1" applyBorder="1" applyAlignment="1">
      <alignment horizontal="left" indent="1"/>
    </xf>
    <xf numFmtId="2" fontId="51" fillId="4" borderId="6" xfId="8" quotePrefix="1" applyNumberFormat="1" applyFont="1" applyFill="1" applyBorder="1" applyAlignment="1">
      <alignment horizontal="left" wrapText="1"/>
    </xf>
    <xf numFmtId="0" fontId="66" fillId="4" borderId="23" xfId="8" applyFont="1" applyFill="1" applyBorder="1" applyAlignment="1">
      <alignment horizontal="left"/>
    </xf>
    <xf numFmtId="0" fontId="66" fillId="4" borderId="1" xfId="8" applyFont="1" applyFill="1" applyBorder="1" applyAlignment="1" applyProtection="1">
      <alignment horizontal="left"/>
      <protection locked="0"/>
    </xf>
    <xf numFmtId="2" fontId="51" fillId="4" borderId="6" xfId="8" quotePrefix="1" applyNumberFormat="1" applyFont="1" applyFill="1" applyBorder="1" applyAlignment="1" applyProtection="1">
      <alignment horizontal="left" wrapText="1"/>
      <protection locked="0"/>
    </xf>
    <xf numFmtId="0" fontId="63" fillId="4" borderId="1" xfId="8" applyFont="1" applyFill="1" applyBorder="1" applyAlignment="1">
      <alignment vertical="center"/>
    </xf>
    <xf numFmtId="0" fontId="39" fillId="4" borderId="1" xfId="8" applyFont="1" applyFill="1" applyBorder="1" applyAlignment="1">
      <alignment horizontal="center" vertical="center"/>
    </xf>
    <xf numFmtId="4" fontId="66" fillId="18" borderId="14" xfId="10" applyNumberFormat="1" applyFont="1" applyFill="1" applyBorder="1" applyAlignment="1">
      <alignment horizontal="left"/>
    </xf>
    <xf numFmtId="43" fontId="66" fillId="18" borderId="15" xfId="1" applyFont="1" applyFill="1" applyBorder="1" applyAlignment="1" applyProtection="1">
      <alignment horizontal="center"/>
    </xf>
    <xf numFmtId="43" fontId="43" fillId="18" borderId="1" xfId="1" applyFont="1" applyFill="1" applyBorder="1" applyAlignment="1" applyProtection="1">
      <alignment horizontal="center" vertical="center"/>
    </xf>
    <xf numFmtId="4" fontId="38" fillId="0" borderId="0" xfId="0" applyNumberFormat="1" applyFont="1" applyProtection="1">
      <protection locked="0"/>
    </xf>
    <xf numFmtId="0" fontId="66" fillId="14" borderId="1" xfId="8" applyFont="1" applyFill="1" applyBorder="1" applyAlignment="1">
      <alignment wrapText="1"/>
    </xf>
    <xf numFmtId="0" fontId="66" fillId="14" borderId="1" xfId="8" applyFont="1" applyFill="1" applyBorder="1" applyAlignment="1">
      <alignment horizontal="center"/>
    </xf>
    <xf numFmtId="0" fontId="66" fillId="14" borderId="12" xfId="8" applyFont="1" applyFill="1" applyBorder="1" applyAlignment="1">
      <alignment horizontal="center"/>
    </xf>
    <xf numFmtId="4" fontId="66" fillId="13" borderId="12" xfId="1" applyNumberFormat="1" applyFont="1" applyFill="1" applyBorder="1" applyAlignment="1" applyProtection="1">
      <alignment horizontal="center"/>
    </xf>
    <xf numFmtId="167" fontId="66" fillId="13" borderId="1" xfId="10" applyNumberFormat="1" applyFont="1" applyFill="1" applyBorder="1" applyAlignment="1">
      <alignment horizontal="center"/>
    </xf>
    <xf numFmtId="0" fontId="51" fillId="4" borderId="1" xfId="8" quotePrefix="1" applyFont="1" applyFill="1" applyBorder="1" applyAlignment="1" applyProtection="1">
      <alignment wrapText="1"/>
      <protection locked="0"/>
    </xf>
    <xf numFmtId="0" fontId="51" fillId="4" borderId="1" xfId="8" quotePrefix="1" applyFont="1" applyFill="1" applyBorder="1" applyAlignment="1" applyProtection="1">
      <alignment horizontal="center" wrapText="1"/>
      <protection locked="0"/>
    </xf>
    <xf numFmtId="4" fontId="51" fillId="4" borderId="1" xfId="8" quotePrefix="1" applyNumberFormat="1" applyFont="1" applyFill="1" applyBorder="1" applyAlignment="1" applyProtection="1">
      <alignment horizontal="center" wrapText="1"/>
      <protection locked="0"/>
    </xf>
    <xf numFmtId="14" fontId="51" fillId="4" borderId="1" xfId="8" quotePrefix="1" applyNumberFormat="1" applyFont="1" applyFill="1" applyBorder="1" applyAlignment="1" applyProtection="1">
      <alignment horizontal="center" wrapText="1"/>
      <protection locked="0"/>
    </xf>
    <xf numFmtId="9" fontId="51" fillId="4" borderId="1" xfId="2" quotePrefix="1" applyFont="1" applyFill="1" applyBorder="1" applyAlignment="1" applyProtection="1">
      <alignment horizontal="center" wrapText="1"/>
      <protection locked="0"/>
    </xf>
    <xf numFmtId="4" fontId="66" fillId="13" borderId="1" xfId="10" applyNumberFormat="1" applyFont="1" applyFill="1" applyBorder="1" applyAlignment="1">
      <alignment horizontal="center"/>
    </xf>
    <xf numFmtId="43" fontId="51" fillId="4" borderId="1" xfId="8" quotePrefix="1" applyNumberFormat="1" applyFont="1" applyFill="1" applyBorder="1" applyAlignment="1" applyProtection="1">
      <alignment horizontal="center" wrapText="1"/>
      <protection locked="0"/>
    </xf>
    <xf numFmtId="4" fontId="38" fillId="4" borderId="0" xfId="0" applyNumberFormat="1" applyFont="1" applyFill="1"/>
    <xf numFmtId="0" fontId="66" fillId="0" borderId="11" xfId="8" applyFont="1" applyBorder="1" applyAlignment="1">
      <alignment horizontal="center"/>
    </xf>
    <xf numFmtId="0" fontId="15" fillId="4" borderId="0" xfId="3" applyFont="1" applyFill="1" applyAlignment="1">
      <alignment vertical="center"/>
    </xf>
    <xf numFmtId="0" fontId="66" fillId="9" borderId="1" xfId="8" applyFont="1" applyFill="1" applyBorder="1"/>
    <xf numFmtId="0" fontId="66" fillId="9" borderId="1" xfId="8" applyFont="1" applyFill="1" applyBorder="1" applyAlignment="1">
      <alignment horizontal="center"/>
    </xf>
    <xf numFmtId="0" fontId="66" fillId="0" borderId="1" xfId="8" applyFont="1" applyBorder="1" applyAlignment="1">
      <alignment horizontal="center"/>
    </xf>
    <xf numFmtId="4" fontId="66" fillId="12" borderId="1" xfId="10" applyNumberFormat="1" applyFont="1" applyFill="1" applyBorder="1" applyAlignment="1">
      <alignment horizontal="center"/>
    </xf>
    <xf numFmtId="4" fontId="66" fillId="13" borderId="1" xfId="1" applyNumberFormat="1" applyFont="1" applyFill="1" applyBorder="1" applyAlignment="1" applyProtection="1">
      <alignment horizontal="center"/>
    </xf>
    <xf numFmtId="43" fontId="51" fillId="0" borderId="1" xfId="9" quotePrefix="1" applyFont="1" applyFill="1" applyBorder="1" applyAlignment="1" applyProtection="1">
      <alignment horizontal="center" vertical="center" wrapText="1"/>
      <protection locked="0"/>
    </xf>
    <xf numFmtId="0" fontId="51" fillId="0" borderId="11" xfId="8" quotePrefix="1" applyFont="1" applyBorder="1" applyAlignment="1">
      <alignment horizontal="right" wrapText="1"/>
    </xf>
    <xf numFmtId="0" fontId="51" fillId="0" borderId="1" xfId="8" quotePrefix="1" applyFont="1" applyBorder="1" applyAlignment="1" applyProtection="1">
      <alignment horizontal="left" wrapText="1"/>
      <protection locked="0"/>
    </xf>
    <xf numFmtId="10" fontId="66" fillId="0" borderId="1" xfId="10" applyNumberFormat="1" applyFont="1" applyBorder="1" applyAlignment="1">
      <alignment horizontal="center" vertical="center"/>
    </xf>
    <xf numFmtId="0" fontId="66" fillId="12" borderId="17" xfId="10" applyFont="1" applyFill="1" applyBorder="1" applyAlignment="1">
      <alignment horizontal="left"/>
    </xf>
    <xf numFmtId="0" fontId="66" fillId="12" borderId="18" xfId="10" applyFont="1" applyFill="1" applyBorder="1" applyAlignment="1">
      <alignment horizontal="left"/>
    </xf>
    <xf numFmtId="43" fontId="66" fillId="12" borderId="18" xfId="9" applyFont="1" applyFill="1" applyBorder="1" applyAlignment="1" applyProtection="1">
      <alignment horizontal="center"/>
    </xf>
    <xf numFmtId="10" fontId="66" fillId="12" borderId="1" xfId="10" applyNumberFormat="1" applyFont="1" applyFill="1" applyBorder="1" applyAlignment="1">
      <alignment horizontal="center" vertical="center"/>
    </xf>
    <xf numFmtId="43" fontId="66" fillId="12" borderId="1" xfId="10" applyNumberFormat="1" applyFont="1" applyFill="1" applyBorder="1" applyAlignment="1">
      <alignment horizontal="center" vertical="center"/>
    </xf>
    <xf numFmtId="0" fontId="58" fillId="4" borderId="0" xfId="0" applyFont="1" applyFill="1"/>
    <xf numFmtId="43" fontId="51" fillId="4" borderId="1" xfId="1" quotePrefix="1" applyFont="1" applyFill="1" applyBorder="1" applyAlignment="1" applyProtection="1">
      <alignment wrapText="1"/>
      <protection locked="0"/>
    </xf>
    <xf numFmtId="0" fontId="51" fillId="4" borderId="0" xfId="8" quotePrefix="1" applyFont="1" applyFill="1" applyAlignment="1">
      <alignment wrapText="1"/>
    </xf>
    <xf numFmtId="43" fontId="51" fillId="4" borderId="0" xfId="1" quotePrefix="1" applyFont="1" applyFill="1" applyBorder="1" applyAlignment="1" applyProtection="1">
      <alignment wrapText="1"/>
    </xf>
    <xf numFmtId="43" fontId="51" fillId="4" borderId="0" xfId="1" quotePrefix="1" applyFont="1" applyFill="1" applyBorder="1" applyAlignment="1" applyProtection="1">
      <alignment horizontal="center" wrapText="1"/>
    </xf>
    <xf numFmtId="14" fontId="51" fillId="4" borderId="0" xfId="8" quotePrefix="1" applyNumberFormat="1" applyFont="1" applyFill="1" applyAlignment="1">
      <alignment horizontal="center" wrapText="1"/>
    </xf>
    <xf numFmtId="9" fontId="51" fillId="4" borderId="0" xfId="2" quotePrefix="1" applyFont="1" applyFill="1" applyBorder="1" applyAlignment="1" applyProtection="1">
      <alignment horizontal="center" wrapText="1"/>
    </xf>
    <xf numFmtId="43" fontId="66" fillId="14" borderId="1" xfId="1" applyFont="1" applyFill="1" applyBorder="1" applyAlignment="1" applyProtection="1">
      <alignment horizontal="center"/>
    </xf>
    <xf numFmtId="0" fontId="66" fillId="14" borderId="1" xfId="8" applyFont="1" applyFill="1" applyBorder="1" applyAlignment="1">
      <alignment horizontal="center" wrapText="1"/>
    </xf>
    <xf numFmtId="43" fontId="66" fillId="13" borderId="1" xfId="1" applyFont="1" applyFill="1" applyBorder="1" applyAlignment="1" applyProtection="1">
      <alignment horizontal="center"/>
    </xf>
    <xf numFmtId="43" fontId="51" fillId="4" borderId="1" xfId="1" quotePrefix="1" applyFont="1" applyFill="1" applyBorder="1" applyAlignment="1" applyProtection="1">
      <alignment horizontal="center" wrapText="1"/>
      <protection locked="0"/>
    </xf>
    <xf numFmtId="0" fontId="66" fillId="12" borderId="1" xfId="8" applyFont="1" applyFill="1" applyBorder="1" applyAlignment="1">
      <alignment horizontal="center"/>
    </xf>
    <xf numFmtId="0" fontId="66" fillId="12" borderId="1" xfId="8" applyFont="1" applyFill="1" applyBorder="1" applyAlignment="1">
      <alignment wrapText="1"/>
    </xf>
    <xf numFmtId="43" fontId="66" fillId="12" borderId="1" xfId="1" applyFont="1" applyFill="1" applyBorder="1" applyAlignment="1" applyProtection="1">
      <alignment horizontal="center"/>
    </xf>
    <xf numFmtId="0" fontId="66" fillId="12" borderId="1" xfId="8" applyFont="1" applyFill="1" applyBorder="1" applyAlignment="1">
      <alignment horizontal="center" wrapText="1"/>
    </xf>
    <xf numFmtId="14" fontId="66" fillId="12" borderId="1" xfId="10" applyNumberFormat="1" applyFont="1" applyFill="1" applyBorder="1" applyAlignment="1">
      <alignment horizontal="center"/>
    </xf>
    <xf numFmtId="167" fontId="66" fillId="12" borderId="1" xfId="10" applyNumberFormat="1" applyFont="1" applyFill="1" applyBorder="1" applyAlignment="1">
      <alignment horizontal="center"/>
    </xf>
    <xf numFmtId="4" fontId="66" fillId="12" borderId="5" xfId="10" applyNumberFormat="1" applyFont="1" applyFill="1" applyBorder="1"/>
    <xf numFmtId="4" fontId="66" fillId="12" borderId="1" xfId="10" applyNumberFormat="1" applyFont="1" applyFill="1" applyBorder="1"/>
    <xf numFmtId="43" fontId="66" fillId="13" borderId="3" xfId="1" applyFont="1" applyFill="1" applyBorder="1" applyAlignment="1" applyProtection="1">
      <alignment horizontal="center"/>
    </xf>
    <xf numFmtId="43" fontId="66" fillId="13" borderId="37" xfId="1" applyFont="1" applyFill="1" applyBorder="1" applyAlignment="1" applyProtection="1">
      <alignment horizontal="center"/>
    </xf>
    <xf numFmtId="4" fontId="66" fillId="13" borderId="37" xfId="10" applyNumberFormat="1" applyFont="1" applyFill="1" applyBorder="1" applyAlignment="1">
      <alignment horizontal="center"/>
    </xf>
    <xf numFmtId="4" fontId="66" fillId="13" borderId="5" xfId="10" applyNumberFormat="1" applyFont="1" applyFill="1" applyBorder="1" applyAlignment="1">
      <alignment horizontal="center"/>
    </xf>
    <xf numFmtId="0" fontId="51" fillId="0" borderId="1" xfId="8" quotePrefix="1" applyFont="1" applyBorder="1" applyAlignment="1" applyProtection="1">
      <alignment wrapText="1"/>
      <protection locked="0"/>
    </xf>
    <xf numFmtId="43" fontId="51" fillId="0" borderId="1" xfId="9" quotePrefix="1" applyFont="1" applyFill="1" applyBorder="1" applyAlignment="1" applyProtection="1">
      <alignment horizontal="center" wrapText="1"/>
      <protection locked="0"/>
    </xf>
    <xf numFmtId="0" fontId="24" fillId="0" borderId="18" xfId="0" applyFont="1" applyBorder="1" applyAlignment="1" applyProtection="1">
      <alignment horizontal="left"/>
      <protection locked="0"/>
    </xf>
    <xf numFmtId="43" fontId="24" fillId="0" borderId="18" xfId="1" applyFont="1" applyBorder="1" applyAlignment="1" applyProtection="1">
      <alignment horizontal="left"/>
      <protection locked="0"/>
    </xf>
    <xf numFmtId="0" fontId="24" fillId="0" borderId="18" xfId="1" applyNumberFormat="1" applyFont="1" applyBorder="1" applyAlignment="1" applyProtection="1">
      <alignment horizontal="left"/>
      <protection locked="0"/>
    </xf>
    <xf numFmtId="0" fontId="24" fillId="0" borderId="1" xfId="0" applyFont="1" applyBorder="1" applyAlignment="1" applyProtection="1">
      <alignment horizontal="left"/>
      <protection locked="0"/>
    </xf>
    <xf numFmtId="0" fontId="24" fillId="0" borderId="6" xfId="0" applyFont="1" applyBorder="1" applyAlignment="1" applyProtection="1">
      <alignment horizontal="left"/>
      <protection locked="0"/>
    </xf>
    <xf numFmtId="0" fontId="38" fillId="9" borderId="0" xfId="0" applyFont="1" applyFill="1"/>
    <xf numFmtId="0" fontId="38" fillId="0" borderId="1" xfId="0" applyFont="1" applyBorder="1" applyAlignment="1">
      <alignment horizontal="center"/>
    </xf>
    <xf numFmtId="0" fontId="24" fillId="0" borderId="1" xfId="0" applyFont="1" applyBorder="1" applyProtection="1">
      <protection locked="0"/>
    </xf>
    <xf numFmtId="0" fontId="38" fillId="0" borderId="18" xfId="0" applyFont="1" applyBorder="1" applyAlignment="1">
      <alignment horizontal="center"/>
    </xf>
    <xf numFmtId="0" fontId="24" fillId="0" borderId="18" xfId="0" applyFont="1" applyBorder="1" applyProtection="1">
      <protection locked="0"/>
    </xf>
    <xf numFmtId="0" fontId="38" fillId="17" borderId="1" xfId="0" applyFont="1" applyFill="1" applyBorder="1"/>
    <xf numFmtId="0" fontId="32" fillId="17" borderId="1" xfId="0" applyFont="1" applyFill="1" applyBorder="1" applyAlignment="1">
      <alignment horizontal="center" vertical="center" wrapText="1"/>
    </xf>
    <xf numFmtId="10" fontId="66" fillId="0" borderId="12" xfId="10" applyNumberFormat="1" applyFont="1" applyBorder="1" applyAlignment="1">
      <alignment horizontal="center"/>
    </xf>
    <xf numFmtId="0" fontId="66" fillId="12" borderId="11" xfId="10" applyFont="1" applyFill="1" applyBorder="1" applyAlignment="1">
      <alignment horizontal="left"/>
    </xf>
    <xf numFmtId="0" fontId="66" fillId="12" borderId="1" xfId="10" applyFont="1" applyFill="1" applyBorder="1"/>
    <xf numFmtId="0" fontId="66" fillId="12" borderId="12" xfId="10" applyFont="1" applyFill="1" applyBorder="1" applyAlignment="1">
      <alignment horizontal="center"/>
    </xf>
    <xf numFmtId="4" fontId="66" fillId="12" borderId="11" xfId="10" applyNumberFormat="1" applyFont="1" applyFill="1" applyBorder="1" applyAlignment="1">
      <alignment horizontal="left"/>
    </xf>
    <xf numFmtId="10" fontId="66" fillId="12" borderId="12" xfId="10" applyNumberFormat="1" applyFont="1" applyFill="1" applyBorder="1" applyAlignment="1">
      <alignment horizontal="center"/>
    </xf>
    <xf numFmtId="43" fontId="66" fillId="12" borderId="12" xfId="1" applyFont="1" applyFill="1" applyBorder="1" applyAlignment="1">
      <alignment horizontal="center"/>
    </xf>
    <xf numFmtId="166" fontId="10" fillId="0" borderId="1" xfId="1" applyNumberFormat="1" applyFont="1" applyFill="1" applyBorder="1" applyAlignment="1" applyProtection="1">
      <alignment vertical="center"/>
      <protection locked="0"/>
    </xf>
    <xf numFmtId="0" fontId="68" fillId="9" borderId="7" xfId="0" applyFont="1" applyFill="1" applyBorder="1" applyAlignment="1">
      <alignment vertical="center"/>
    </xf>
    <xf numFmtId="0" fontId="69" fillId="9" borderId="8" xfId="0" applyFont="1" applyFill="1" applyBorder="1" applyAlignment="1">
      <alignment horizontal="center" vertical="center" wrapText="1"/>
    </xf>
    <xf numFmtId="0" fontId="69" fillId="9" borderId="9" xfId="0" applyFont="1" applyFill="1" applyBorder="1" applyAlignment="1">
      <alignment vertical="center" wrapText="1"/>
    </xf>
    <xf numFmtId="0" fontId="70" fillId="9" borderId="10" xfId="0" applyFont="1" applyFill="1" applyBorder="1" applyAlignment="1">
      <alignment horizontal="center" vertical="center"/>
    </xf>
    <xf numFmtId="0" fontId="71" fillId="7" borderId="11" xfId="0" applyFont="1" applyFill="1" applyBorder="1" applyAlignment="1">
      <alignment vertical="center" wrapText="1"/>
    </xf>
    <xf numFmtId="0" fontId="69" fillId="7" borderId="1" xfId="0" applyFont="1" applyFill="1" applyBorder="1" applyAlignment="1">
      <alignment vertical="center" wrapText="1"/>
    </xf>
    <xf numFmtId="0" fontId="71" fillId="7" borderId="1" xfId="0" applyFont="1" applyFill="1" applyBorder="1" applyAlignment="1">
      <alignment vertical="center" wrapText="1"/>
    </xf>
    <xf numFmtId="0" fontId="72" fillId="7" borderId="12" xfId="0" applyFont="1" applyFill="1" applyBorder="1" applyAlignment="1">
      <alignment horizontal="center" vertical="center" wrapText="1"/>
    </xf>
    <xf numFmtId="0" fontId="68" fillId="4" borderId="11" xfId="0" applyFont="1" applyFill="1" applyBorder="1" applyAlignment="1">
      <alignment vertical="center"/>
    </xf>
    <xf numFmtId="0" fontId="71" fillId="4" borderId="1" xfId="0" applyFont="1" applyFill="1" applyBorder="1" applyAlignment="1">
      <alignment vertical="center" wrapText="1"/>
    </xf>
    <xf numFmtId="0" fontId="71" fillId="4" borderId="1" xfId="0" applyFont="1" applyFill="1" applyBorder="1" applyAlignment="1">
      <alignment horizontal="center" vertical="center" wrapText="1"/>
    </xf>
    <xf numFmtId="43" fontId="68" fillId="5" borderId="12" xfId="1" applyFont="1" applyFill="1" applyBorder="1" applyAlignment="1" applyProtection="1">
      <alignment horizontal="center" vertical="center"/>
    </xf>
    <xf numFmtId="43" fontId="68" fillId="5" borderId="12" xfId="0" applyNumberFormat="1" applyFont="1" applyFill="1" applyBorder="1" applyAlignment="1">
      <alignment horizontal="center" vertical="center"/>
    </xf>
    <xf numFmtId="0" fontId="73" fillId="4" borderId="1" xfId="0" applyFont="1" applyFill="1" applyBorder="1" applyAlignment="1">
      <alignment horizontal="center" vertical="center" wrapText="1"/>
    </xf>
    <xf numFmtId="0" fontId="69" fillId="15" borderId="1" xfId="0" applyFont="1" applyFill="1" applyBorder="1" applyAlignment="1">
      <alignment vertical="center" wrapText="1"/>
    </xf>
    <xf numFmtId="0" fontId="73" fillId="15" borderId="1" xfId="0" applyFont="1" applyFill="1" applyBorder="1" applyAlignment="1">
      <alignment horizontal="center" vertical="center" wrapText="1"/>
    </xf>
    <xf numFmtId="43" fontId="68" fillId="15" borderId="12" xfId="1" applyFont="1" applyFill="1" applyBorder="1" applyAlignment="1" applyProtection="1">
      <alignment horizontal="center" vertical="center"/>
    </xf>
    <xf numFmtId="0" fontId="68" fillId="0" borderId="11" xfId="0" applyFont="1" applyBorder="1" applyAlignment="1">
      <alignment vertical="center"/>
    </xf>
    <xf numFmtId="0" fontId="74" fillId="0" borderId="1" xfId="0" applyFont="1" applyBorder="1" applyAlignment="1">
      <alignment wrapText="1"/>
    </xf>
    <xf numFmtId="0" fontId="74" fillId="0" borderId="1" xfId="13" applyFont="1" applyBorder="1" applyAlignment="1">
      <alignment wrapText="1"/>
    </xf>
    <xf numFmtId="0" fontId="71" fillId="9" borderId="11" xfId="0" applyFont="1" applyFill="1" applyBorder="1" applyAlignment="1">
      <alignment vertical="center" wrapText="1"/>
    </xf>
    <xf numFmtId="0" fontId="69" fillId="9" borderId="1" xfId="0" applyFont="1" applyFill="1" applyBorder="1" applyAlignment="1">
      <alignment vertical="center" wrapText="1"/>
    </xf>
    <xf numFmtId="0" fontId="71" fillId="9" borderId="1" xfId="0" applyFont="1" applyFill="1" applyBorder="1" applyAlignment="1">
      <alignment vertical="center" wrapText="1"/>
    </xf>
    <xf numFmtId="0" fontId="72" fillId="9" borderId="12" xfId="0" applyFont="1" applyFill="1" applyBorder="1" applyAlignment="1">
      <alignment horizontal="center" vertical="center" wrapText="1"/>
    </xf>
    <xf numFmtId="0" fontId="68" fillId="4" borderId="11" xfId="0" applyFont="1" applyFill="1" applyBorder="1" applyAlignment="1">
      <alignment vertical="center" wrapText="1"/>
    </xf>
    <xf numFmtId="0" fontId="24" fillId="0" borderId="3" xfId="0" applyFont="1" applyBorder="1"/>
    <xf numFmtId="0" fontId="38" fillId="0" borderId="37" xfId="0" applyFont="1" applyBorder="1"/>
    <xf numFmtId="43" fontId="38" fillId="0" borderId="1" xfId="0" applyNumberFormat="1" applyFont="1" applyBorder="1"/>
    <xf numFmtId="0" fontId="18" fillId="0" borderId="1" xfId="0" applyFont="1" applyBorder="1" applyAlignment="1" applyProtection="1">
      <alignment vertical="center"/>
      <protection locked="0"/>
    </xf>
    <xf numFmtId="0" fontId="24" fillId="0" borderId="1" xfId="0" applyFont="1" applyBorder="1" applyAlignment="1">
      <alignment horizontal="left" indent="1"/>
    </xf>
    <xf numFmtId="43" fontId="38" fillId="0" borderId="1" xfId="1" applyFont="1" applyFill="1" applyBorder="1" applyAlignment="1" applyProtection="1">
      <alignment vertical="center"/>
      <protection locked="0"/>
    </xf>
    <xf numFmtId="0" fontId="24" fillId="0" borderId="38" xfId="1" applyNumberFormat="1" applyFont="1" applyBorder="1" applyAlignment="1" applyProtection="1">
      <alignment horizontal="left"/>
      <protection locked="0"/>
    </xf>
    <xf numFmtId="166" fontId="45" fillId="13" borderId="1" xfId="1" applyNumberFormat="1" applyFont="1" applyFill="1" applyBorder="1" applyAlignment="1" applyProtection="1">
      <alignment vertical="center"/>
    </xf>
    <xf numFmtId="43" fontId="38" fillId="13" borderId="1" xfId="1" applyFont="1" applyFill="1" applyBorder="1" applyAlignment="1" applyProtection="1">
      <alignment vertical="center"/>
    </xf>
    <xf numFmtId="43" fontId="77" fillId="4" borderId="1" xfId="1" applyFont="1" applyFill="1" applyBorder="1" applyAlignment="1" applyProtection="1">
      <alignment vertical="center" wrapText="1"/>
    </xf>
    <xf numFmtId="0" fontId="18" fillId="19" borderId="1" xfId="0" applyFont="1" applyFill="1" applyBorder="1" applyAlignment="1">
      <alignment vertical="center"/>
    </xf>
    <xf numFmtId="0" fontId="21" fillId="19" borderId="1" xfId="0" applyFont="1" applyFill="1" applyBorder="1" applyAlignment="1">
      <alignment vertical="center"/>
    </xf>
    <xf numFmtId="0" fontId="18" fillId="19" borderId="1" xfId="0" quotePrefix="1" applyFont="1" applyFill="1" applyBorder="1" applyAlignment="1">
      <alignment horizontal="right" vertical="center"/>
    </xf>
    <xf numFmtId="38" fontId="15" fillId="19" borderId="1" xfId="4" applyFont="1" applyFill="1" applyBorder="1" applyAlignment="1">
      <alignment vertical="center" wrapText="1"/>
    </xf>
    <xf numFmtId="38" fontId="27" fillId="19" borderId="1" xfId="4" applyFont="1" applyFill="1" applyBorder="1" applyAlignment="1">
      <alignment vertical="center" wrapText="1"/>
    </xf>
    <xf numFmtId="43" fontId="18" fillId="19" borderId="1" xfId="0" applyNumberFormat="1" applyFont="1" applyFill="1" applyBorder="1" applyAlignment="1">
      <alignment vertical="center"/>
    </xf>
    <xf numFmtId="0" fontId="38" fillId="19" borderId="1" xfId="11" applyFont="1" applyFill="1" applyBorder="1" applyAlignment="1">
      <alignment horizontal="left" indent="1"/>
    </xf>
    <xf numFmtId="0" fontId="66" fillId="19" borderId="9" xfId="8" applyFont="1" applyFill="1" applyBorder="1" applyAlignment="1">
      <alignment horizontal="left"/>
    </xf>
    <xf numFmtId="43" fontId="66" fillId="19" borderId="10" xfId="1" applyFont="1" applyFill="1" applyBorder="1" applyAlignment="1" applyProtection="1">
      <alignment horizontal="center"/>
    </xf>
    <xf numFmtId="0" fontId="66" fillId="19" borderId="1" xfId="8" applyFont="1" applyFill="1" applyBorder="1"/>
    <xf numFmtId="0" fontId="15" fillId="19" borderId="1" xfId="0" applyFont="1" applyFill="1" applyBorder="1" applyAlignment="1">
      <alignment vertical="center"/>
    </xf>
    <xf numFmtId="0" fontId="46" fillId="19" borderId="1" xfId="0" quotePrefix="1" applyFont="1" applyFill="1" applyBorder="1" applyAlignment="1">
      <alignment horizontal="right" vertical="center" wrapText="1"/>
    </xf>
    <xf numFmtId="0" fontId="32" fillId="19" borderId="1" xfId="0" applyFont="1" applyFill="1" applyBorder="1" applyAlignment="1">
      <alignment vertical="center" wrapText="1"/>
    </xf>
    <xf numFmtId="0" fontId="47" fillId="19" borderId="1" xfId="0" applyFont="1" applyFill="1" applyBorder="1" applyAlignment="1">
      <alignment vertical="center" wrapText="1"/>
    </xf>
    <xf numFmtId="0" fontId="47" fillId="19" borderId="3" xfId="0" applyFont="1" applyFill="1" applyBorder="1" applyAlignment="1">
      <alignment vertical="center" wrapText="1"/>
    </xf>
    <xf numFmtId="1" fontId="51" fillId="19" borderId="34" xfId="8" quotePrefix="1" applyNumberFormat="1" applyFont="1" applyFill="1" applyBorder="1" applyAlignment="1">
      <alignment horizontal="right" vertical="center" wrapText="1"/>
    </xf>
    <xf numFmtId="2" fontId="39" fillId="19" borderId="33" xfId="8" quotePrefix="1" applyNumberFormat="1" applyFont="1" applyFill="1" applyBorder="1" applyAlignment="1">
      <alignment horizontal="left" vertical="center" wrapText="1"/>
    </xf>
    <xf numFmtId="10" fontId="45" fillId="19" borderId="31" xfId="8" applyNumberFormat="1" applyFont="1" applyFill="1" applyBorder="1" applyAlignment="1">
      <alignment horizontal="center" vertical="center"/>
    </xf>
    <xf numFmtId="0" fontId="45" fillId="19" borderId="4" xfId="8" applyFont="1" applyFill="1" applyBorder="1" applyAlignment="1">
      <alignment horizontal="center" vertical="center" wrapText="1"/>
    </xf>
    <xf numFmtId="1" fontId="51" fillId="19" borderId="7" xfId="8" quotePrefix="1" applyNumberFormat="1" applyFont="1" applyFill="1" applyBorder="1" applyAlignment="1">
      <alignment horizontal="right" wrapText="1"/>
    </xf>
    <xf numFmtId="2" fontId="39" fillId="19" borderId="4" xfId="8" quotePrefix="1" applyNumberFormat="1" applyFont="1" applyFill="1" applyBorder="1" applyAlignment="1">
      <alignment horizontal="left" wrapText="1"/>
    </xf>
    <xf numFmtId="2" fontId="45" fillId="19" borderId="4" xfId="8" quotePrefix="1" applyNumberFormat="1" applyFont="1" applyFill="1" applyBorder="1" applyAlignment="1">
      <alignment horizontal="left" wrapText="1"/>
    </xf>
    <xf numFmtId="2" fontId="32" fillId="19" borderId="16" xfId="8" quotePrefix="1" applyNumberFormat="1" applyFont="1" applyFill="1" applyBorder="1" applyAlignment="1">
      <alignment horizontal="left" wrapText="1"/>
    </xf>
    <xf numFmtId="38" fontId="22" fillId="0" borderId="1" xfId="7" applyFont="1" applyBorder="1" applyAlignment="1">
      <alignment vertical="center" wrapText="1"/>
    </xf>
    <xf numFmtId="0" fontId="77" fillId="0" borderId="0" xfId="0" applyFont="1" applyAlignment="1">
      <alignment vertical="top" wrapText="1"/>
    </xf>
    <xf numFmtId="0" fontId="23" fillId="0" borderId="1" xfId="0" applyFont="1" applyBorder="1" applyAlignment="1">
      <alignment wrapText="1"/>
    </xf>
    <xf numFmtId="0" fontId="38" fillId="5" borderId="0" xfId="0" applyFont="1" applyFill="1" applyAlignment="1">
      <alignment vertical="center"/>
    </xf>
    <xf numFmtId="0" fontId="77" fillId="0" borderId="1" xfId="0" applyFont="1" applyBorder="1" applyAlignment="1">
      <alignment wrapText="1"/>
    </xf>
    <xf numFmtId="0" fontId="77" fillId="4" borderId="1" xfId="0" applyFont="1" applyFill="1" applyBorder="1" applyAlignment="1">
      <alignment vertical="center" wrapText="1"/>
    </xf>
    <xf numFmtId="1" fontId="51" fillId="19" borderId="39" xfId="8" quotePrefix="1" applyNumberFormat="1" applyFont="1" applyFill="1" applyBorder="1" applyAlignment="1">
      <alignment horizontal="right" wrapText="1"/>
    </xf>
    <xf numFmtId="2" fontId="15" fillId="19" borderId="40" xfId="8" quotePrefix="1" applyNumberFormat="1" applyFont="1" applyFill="1" applyBorder="1" applyAlignment="1">
      <alignment horizontal="left" wrapText="1"/>
    </xf>
    <xf numFmtId="10" fontId="45" fillId="19" borderId="41" xfId="8" applyNumberFormat="1" applyFont="1" applyFill="1" applyBorder="1" applyAlignment="1">
      <alignment horizontal="center" vertical="center"/>
    </xf>
    <xf numFmtId="0" fontId="45" fillId="19" borderId="42" xfId="8" applyFont="1" applyFill="1" applyBorder="1" applyAlignment="1">
      <alignment horizontal="center" vertical="center" wrapText="1"/>
    </xf>
    <xf numFmtId="1" fontId="51" fillId="0" borderId="0" xfId="8" quotePrefix="1" applyNumberFormat="1" applyFont="1" applyAlignment="1">
      <alignment horizontal="right" wrapText="1"/>
    </xf>
    <xf numFmtId="2" fontId="22" fillId="0" borderId="0" xfId="8" quotePrefix="1" applyNumberFormat="1" applyFont="1" applyAlignment="1">
      <alignment horizontal="left" wrapText="1"/>
    </xf>
    <xf numFmtId="10" fontId="51" fillId="0" borderId="0" xfId="8" quotePrefix="1" applyNumberFormat="1" applyFont="1" applyAlignment="1">
      <alignment horizontal="center" wrapText="1"/>
    </xf>
    <xf numFmtId="43" fontId="15" fillId="0" borderId="0" xfId="9" quotePrefix="1" applyFont="1" applyFill="1" applyBorder="1" applyAlignment="1" applyProtection="1">
      <alignment horizontal="center" wrapText="1"/>
    </xf>
    <xf numFmtId="43" fontId="22" fillId="4" borderId="10" xfId="9" quotePrefix="1" applyFont="1" applyFill="1" applyBorder="1" applyAlignment="1" applyProtection="1">
      <alignment horizontal="center" wrapText="1"/>
      <protection locked="0"/>
    </xf>
    <xf numFmtId="43" fontId="22" fillId="4" borderId="12" xfId="9" quotePrefix="1" applyFont="1" applyFill="1" applyBorder="1" applyAlignment="1" applyProtection="1">
      <alignment horizontal="center" wrapText="1"/>
      <protection locked="0"/>
    </xf>
    <xf numFmtId="43" fontId="15" fillId="12" borderId="15" xfId="9" quotePrefix="1" applyFont="1" applyFill="1" applyBorder="1" applyAlignment="1" applyProtection="1">
      <alignment horizontal="center" wrapText="1"/>
    </xf>
    <xf numFmtId="166" fontId="45" fillId="0" borderId="1" xfId="1" applyNumberFormat="1" applyFont="1" applyFill="1" applyBorder="1" applyAlignment="1" applyProtection="1">
      <alignment vertical="center"/>
      <protection locked="0"/>
    </xf>
    <xf numFmtId="0" fontId="38" fillId="4" borderId="0" xfId="0" applyFont="1" applyFill="1" applyAlignment="1" applyProtection="1">
      <alignment vertical="center"/>
      <protection locked="0"/>
    </xf>
    <xf numFmtId="1" fontId="45" fillId="0" borderId="1" xfId="1" applyNumberFormat="1" applyFont="1" applyFill="1" applyBorder="1" applyAlignment="1" applyProtection="1">
      <alignment vertical="center"/>
      <protection locked="0"/>
    </xf>
    <xf numFmtId="49" fontId="0" fillId="0" borderId="1" xfId="0" applyNumberFormat="1" applyBorder="1" applyAlignment="1" applyProtection="1">
      <alignment vertical="center"/>
      <protection locked="0"/>
    </xf>
    <xf numFmtId="0" fontId="64" fillId="19" borderId="10" xfId="8" applyFont="1" applyFill="1" applyBorder="1" applyAlignment="1">
      <alignment horizontal="center"/>
    </xf>
    <xf numFmtId="0" fontId="64" fillId="4" borderId="11" xfId="8" applyFont="1" applyFill="1" applyBorder="1" applyAlignment="1">
      <alignment horizontal="center"/>
    </xf>
    <xf numFmtId="168" fontId="66" fillId="0" borderId="25" xfId="1" applyNumberFormat="1" applyFont="1" applyBorder="1" applyAlignment="1" applyProtection="1">
      <alignment horizontal="center"/>
    </xf>
    <xf numFmtId="0" fontId="62" fillId="4" borderId="11" xfId="8" applyFont="1" applyFill="1" applyBorder="1" applyAlignment="1">
      <alignment horizontal="center"/>
    </xf>
    <xf numFmtId="43" fontId="64" fillId="19" borderId="43" xfId="1" applyFont="1" applyFill="1" applyBorder="1" applyAlignment="1" applyProtection="1">
      <alignment horizontal="center"/>
    </xf>
    <xf numFmtId="0" fontId="66" fillId="0" borderId="44" xfId="1" applyNumberFormat="1" applyFont="1" applyBorder="1" applyAlignment="1" applyProtection="1">
      <alignment horizontal="center"/>
      <protection locked="0"/>
    </xf>
    <xf numFmtId="0" fontId="66" fillId="0" borderId="45" xfId="1" applyNumberFormat="1" applyFont="1" applyBorder="1" applyAlignment="1" applyProtection="1">
      <alignment horizontal="center"/>
    </xf>
    <xf numFmtId="43" fontId="64" fillId="18" borderId="46" xfId="1" applyFont="1" applyFill="1" applyBorder="1" applyAlignment="1" applyProtection="1">
      <alignment horizontal="center"/>
    </xf>
    <xf numFmtId="0" fontId="78" fillId="4" borderId="0" xfId="0" applyFont="1" applyFill="1" applyAlignment="1" applyProtection="1">
      <alignment wrapText="1"/>
      <protection hidden="1"/>
    </xf>
    <xf numFmtId="2" fontId="10" fillId="4" borderId="1" xfId="0" quotePrefix="1" applyNumberFormat="1" applyFont="1" applyFill="1" applyBorder="1" applyAlignment="1">
      <alignment horizontal="right" vertical="center"/>
    </xf>
    <xf numFmtId="43" fontId="27" fillId="4" borderId="1" xfId="1" applyFont="1" applyFill="1" applyBorder="1" applyAlignment="1" applyProtection="1">
      <alignment horizontal="left" vertical="center" wrapText="1"/>
    </xf>
    <xf numFmtId="43" fontId="38" fillId="4" borderId="1" xfId="1" applyFont="1" applyFill="1" applyBorder="1" applyAlignment="1" applyProtection="1">
      <alignment vertical="center"/>
    </xf>
    <xf numFmtId="0" fontId="47" fillId="19" borderId="1" xfId="0" applyFont="1" applyFill="1" applyBorder="1" applyAlignment="1">
      <alignment vertical="center"/>
    </xf>
    <xf numFmtId="0" fontId="56" fillId="8" borderId="1" xfId="0" applyFont="1" applyFill="1" applyBorder="1" applyAlignment="1">
      <alignment horizontal="center" vertical="center" wrapText="1"/>
    </xf>
    <xf numFmtId="0" fontId="0" fillId="6" borderId="3" xfId="0" applyFill="1" applyBorder="1" applyAlignment="1">
      <alignment horizontal="left" vertical="center" wrapText="1"/>
    </xf>
    <xf numFmtId="0" fontId="0" fillId="6" borderId="5" xfId="0" applyFill="1" applyBorder="1" applyAlignment="1">
      <alignment horizontal="left" vertical="center" wrapText="1"/>
    </xf>
    <xf numFmtId="0" fontId="8" fillId="4" borderId="0" xfId="0" applyFont="1" applyFill="1" applyAlignment="1">
      <alignment horizontal="center" vertical="center"/>
    </xf>
    <xf numFmtId="0" fontId="34" fillId="4" borderId="0" xfId="0" applyFont="1" applyFill="1" applyAlignment="1">
      <alignment horizontal="center" vertical="center"/>
    </xf>
    <xf numFmtId="4" fontId="66" fillId="12" borderId="1" xfId="10" applyNumberFormat="1" applyFont="1" applyFill="1" applyBorder="1" applyAlignment="1">
      <alignment horizontal="center"/>
    </xf>
    <xf numFmtId="0" fontId="66" fillId="19" borderId="1" xfId="8" applyFont="1" applyFill="1" applyBorder="1" applyAlignment="1">
      <alignment horizontal="center"/>
    </xf>
    <xf numFmtId="0" fontId="66" fillId="9" borderId="1" xfId="8" applyFont="1" applyFill="1" applyBorder="1" applyAlignment="1">
      <alignment horizontal="center"/>
    </xf>
    <xf numFmtId="4" fontId="66" fillId="12" borderId="36" xfId="10" applyNumberFormat="1" applyFont="1" applyFill="1" applyBorder="1" applyAlignment="1">
      <alignment horizontal="center"/>
    </xf>
    <xf numFmtId="4" fontId="66" fillId="12" borderId="37" xfId="10" applyNumberFormat="1" applyFont="1" applyFill="1" applyBorder="1" applyAlignment="1">
      <alignment horizontal="center"/>
    </xf>
    <xf numFmtId="4" fontId="66" fillId="12" borderId="5" xfId="10" applyNumberFormat="1" applyFont="1" applyFill="1" applyBorder="1" applyAlignment="1">
      <alignment horizontal="center"/>
    </xf>
    <xf numFmtId="0" fontId="66" fillId="19" borderId="1" xfId="10" applyFont="1" applyFill="1" applyBorder="1" applyAlignment="1">
      <alignment horizontal="center"/>
    </xf>
    <xf numFmtId="0" fontId="67" fillId="9" borderId="3" xfId="8" applyFont="1" applyFill="1" applyBorder="1" applyAlignment="1">
      <alignment horizontal="center" vertical="center"/>
    </xf>
    <xf numFmtId="0" fontId="67" fillId="9" borderId="37" xfId="8" applyFont="1" applyFill="1" applyBorder="1" applyAlignment="1">
      <alignment horizontal="center" vertical="center"/>
    </xf>
    <xf numFmtId="0" fontId="67" fillId="9" borderId="5" xfId="8" applyFont="1" applyFill="1" applyBorder="1" applyAlignment="1">
      <alignment horizontal="center" vertical="center"/>
    </xf>
    <xf numFmtId="4" fontId="66" fillId="13" borderId="1" xfId="10" applyNumberFormat="1" applyFont="1" applyFill="1" applyBorder="1" applyAlignment="1">
      <alignment horizontal="left" vertical="top"/>
    </xf>
    <xf numFmtId="0" fontId="67" fillId="19" borderId="3" xfId="8" applyFont="1" applyFill="1" applyBorder="1" applyAlignment="1">
      <alignment horizontal="center" vertical="center"/>
    </xf>
    <xf numFmtId="0" fontId="67" fillId="19" borderId="37" xfId="8" applyFont="1" applyFill="1" applyBorder="1" applyAlignment="1">
      <alignment horizontal="center" vertical="center"/>
    </xf>
    <xf numFmtId="0" fontId="67" fillId="19" borderId="5" xfId="8" applyFont="1" applyFill="1" applyBorder="1" applyAlignment="1">
      <alignment horizontal="center" vertical="center"/>
    </xf>
    <xf numFmtId="0" fontId="67" fillId="19" borderId="26" xfId="10" applyFont="1" applyFill="1" applyBorder="1" applyAlignment="1">
      <alignment horizontal="center" vertical="center"/>
    </xf>
    <xf numFmtId="0" fontId="67" fillId="19" borderId="27" xfId="10" applyFont="1" applyFill="1" applyBorder="1" applyAlignment="1">
      <alignment horizontal="center" vertical="center"/>
    </xf>
    <xf numFmtId="0" fontId="67" fillId="19" borderId="28" xfId="10" applyFont="1" applyFill="1" applyBorder="1" applyAlignment="1">
      <alignment horizontal="center" vertical="center"/>
    </xf>
    <xf numFmtId="0" fontId="17" fillId="4" borderId="1" xfId="0" applyFont="1" applyFill="1" applyBorder="1" applyAlignment="1">
      <alignment horizontal="center" vertical="center" wrapText="1"/>
    </xf>
    <xf numFmtId="0" fontId="32" fillId="19" borderId="0" xfId="0" applyFont="1" applyFill="1" applyAlignment="1">
      <alignment horizontal="center" vertical="center"/>
    </xf>
    <xf numFmtId="0" fontId="18" fillId="4" borderId="1" xfId="0" applyFont="1" applyFill="1" applyBorder="1" applyAlignment="1" applyProtection="1">
      <alignment vertical="center" wrapText="1"/>
      <protection locked="0"/>
    </xf>
    <xf numFmtId="0" fontId="79" fillId="0" borderId="1" xfId="1" applyNumberFormat="1" applyFont="1" applyBorder="1" applyAlignment="1" applyProtection="1">
      <alignment horizontal="left"/>
      <protection locked="0"/>
    </xf>
  </cellXfs>
  <cellStyles count="14">
    <cellStyle name="Comma" xfId="1" builtinId="3"/>
    <cellStyle name="Comma 10" xfId="9" xr:uid="{00000000-0005-0000-0000-000001000000}"/>
    <cellStyle name="Comma 3" xfId="12" xr:uid="{00000000-0005-0000-0000-000002000000}"/>
    <cellStyle name="Level2" xfId="5" xr:uid="{00000000-0005-0000-0000-000003000000}"/>
    <cellStyle name="Level3Tit" xfId="6" xr:uid="{00000000-0005-0000-0000-000004000000}"/>
    <cellStyle name="Margin" xfId="7" xr:uid="{00000000-0005-0000-0000-000005000000}"/>
    <cellStyle name="Normal" xfId="0" builtinId="0"/>
    <cellStyle name="Normal 10" xfId="8" xr:uid="{00000000-0005-0000-0000-000007000000}"/>
    <cellStyle name="Normal 2" xfId="13" xr:uid="{00000000-0005-0000-0000-000008000000}"/>
    <cellStyle name="Normal 2 7 2" xfId="10" xr:uid="{00000000-0005-0000-0000-000009000000}"/>
    <cellStyle name="Normal 2 9" xfId="11" xr:uid="{00000000-0005-0000-0000-00000A000000}"/>
    <cellStyle name="Normal_MF 4 Capital adequacy" xfId="3" xr:uid="{00000000-0005-0000-0000-00000B000000}"/>
    <cellStyle name="Percent" xfId="2" builtinId="5"/>
    <cellStyle name="SubAcct" xfId="4" xr:uid="{00000000-0005-0000-0000-00000D000000}"/>
  </cellStyles>
  <dxfs count="44">
    <dxf>
      <font>
        <b val="0"/>
        <i val="0"/>
        <strike val="0"/>
        <condense val="0"/>
        <extend val="0"/>
        <outline val="0"/>
        <shadow val="0"/>
        <u val="none"/>
        <vertAlign val="baseline"/>
        <sz val="12"/>
        <color theme="1"/>
        <name val="Times New Roman"/>
        <scheme val="none"/>
      </font>
      <numFmt numFmtId="35"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2"/>
        <color theme="1"/>
        <name val="Times New Roman"/>
        <scheme val="none"/>
      </font>
      <numFmt numFmtId="35" formatCode="_(* #,##0.00_);_(* \(#,##0.00\);_(* &quot;-&quot;??_);_(@_)"/>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fill>
        <patternFill patternType="solid">
          <fgColor indexed="64"/>
          <bgColor theme="2"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Times New Roman"/>
        <scheme val="none"/>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fill>
        <patternFill patternType="solid">
          <fgColor indexed="64"/>
          <bgColor theme="2"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numFmt numFmtId="35"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Times New Roman"/>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fill>
        <patternFill patternType="solid">
          <fgColor indexed="64"/>
          <bgColor theme="2"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Times New Roman"/>
        <scheme val="none"/>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numFmt numFmtId="168" formatCode="&quot;GH₵&quot;#,##0.00"/>
      <fill>
        <patternFill patternType="solid">
          <fgColor indexed="64"/>
          <bgColor theme="2"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numFmt numFmtId="35"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theme="1"/>
        <name val="Times New Roman"/>
        <scheme val="none"/>
      </font>
      <numFmt numFmtId="35" formatCode="_(* #,##0.00_);_(* \(#,##0.00\);_(* &quot;-&quot;??_);_(@_)"/>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numFmt numFmtId="168" formatCode="&quot;GH₵&quot;#,##0.00"/>
      <fill>
        <patternFill patternType="solid">
          <fgColor indexed="64"/>
          <bgColor theme="2"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theme="1"/>
        <name val="Times New Roman"/>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fill>
        <patternFill patternType="solid">
          <fgColor indexed="64"/>
          <bgColor theme="2" tint="-0.249977111117893"/>
        </patternFill>
      </fill>
      <border diagonalUp="0" diagonalDown="0" outline="0">
        <left style="thick">
          <color theme="3"/>
        </left>
        <right/>
        <top/>
        <bottom/>
      </border>
    </dxf>
    <dxf>
      <font>
        <strike val="0"/>
        <outline val="0"/>
        <shadow val="0"/>
        <u val="none"/>
        <vertAlign val="baseline"/>
        <sz val="12"/>
        <color theme="1"/>
        <name val="Times New Roman"/>
        <scheme val="none"/>
      </font>
      <border diagonalUp="0" diagonalDown="0">
        <left style="thin">
          <color indexed="64"/>
        </left>
        <right style="thin">
          <color indexed="64"/>
        </right>
        <top/>
        <bottom/>
        <vertical style="thin">
          <color indexed="64"/>
        </vertical>
        <horizontal style="thin">
          <color indexed="64"/>
        </horizontal>
      </border>
      <protection locked="1" hidden="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protection locked="0" hidden="0"/>
    </dxf>
    <dxf>
      <font>
        <b val="0"/>
        <strike val="0"/>
        <outline val="0"/>
        <shadow val="0"/>
        <u val="none"/>
        <vertAlign val="baseline"/>
        <sz val="12"/>
        <color auto="1"/>
        <name val="Times New Roman"/>
        <scheme val="none"/>
      </font>
      <fill>
        <patternFill patternType="solid">
          <fgColor indexed="64"/>
          <bgColor theme="2" tint="-0.249977111117893"/>
        </patternFill>
      </fill>
      <border diagonalUp="0" diagonalDown="0">
        <left style="thin">
          <color indexed="64"/>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2"/>
        <color theme="1"/>
        <name val="Times New Roman"/>
        <scheme val="none"/>
      </font>
      <numFmt numFmtId="35"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style="thin">
          <color indexed="64"/>
        </top>
        <bottom/>
      </border>
      <protection locked="0" hidden="0"/>
    </dxf>
    <dxf>
      <font>
        <b val="0"/>
        <i val="0"/>
        <strike val="0"/>
        <condense val="0"/>
        <extend val="0"/>
        <outline val="0"/>
        <shadow val="0"/>
        <u val="none"/>
        <vertAlign val="baseline"/>
        <sz val="12"/>
        <color theme="1"/>
        <name val="Times New Roman"/>
        <scheme val="none"/>
      </font>
      <numFmt numFmtId="35" formatCode="_(* #,##0.00_);_(* \(#,##0.00\);_(* &quot;-&quot;??_);_(@_)"/>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fill>
        <patternFill patternType="solid">
          <fgColor indexed="64"/>
          <bgColor theme="2"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Times New Roman"/>
        <scheme val="none"/>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fill>
        <patternFill patternType="solid">
          <fgColor indexed="64"/>
          <bgColor theme="2"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numFmt numFmtId="35"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Times New Roman"/>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fill>
        <patternFill patternType="solid">
          <fgColor indexed="64"/>
          <bgColor theme="2"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2"/>
        <color theme="1"/>
        <name val="Times New Roman"/>
        <scheme val="none"/>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numFmt numFmtId="168" formatCode="&quot;GH₵&quot;#,##0.00"/>
      <fill>
        <patternFill patternType="solid">
          <fgColor indexed="64"/>
          <bgColor theme="2" tint="-0.249977111117893"/>
        </patternFill>
      </fill>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scheme val="none"/>
      </font>
      <numFmt numFmtId="35" formatCode="_(* #,##0.00_);_(* \(#,##0.00\);_(* &quot;-&quot;??_);_(@_)"/>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theme="1"/>
        <name val="Times New Roman"/>
        <scheme val="none"/>
      </font>
      <numFmt numFmtId="35" formatCode="_(* #,##0.00_);_(* \(#,##0.00\);_(* &quot;-&quot;??_);_(@_)"/>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numFmt numFmtId="168" formatCode="&quot;GH₵&quot;#,##0.00"/>
      <fill>
        <patternFill patternType="solid">
          <fgColor indexed="64"/>
          <bgColor theme="2"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Times New Roman"/>
        <scheme val="none"/>
      </font>
      <numFmt numFmtId="0" formatCode="General"/>
      <fill>
        <patternFill patternType="solid">
          <fgColor indexed="64"/>
          <bgColor theme="0"/>
        </patternFill>
      </fill>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2"/>
        <color theme="1"/>
        <name val="Times New Roman"/>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2"/>
        <color auto="1"/>
        <name val="Times New Roman"/>
        <scheme val="none"/>
      </font>
      <fill>
        <patternFill patternType="solid">
          <fgColor indexed="64"/>
          <bgColor theme="2" tint="-0.249977111117893"/>
        </patternFill>
      </fill>
      <border diagonalUp="0" diagonalDown="0" outline="0">
        <left style="thick">
          <color theme="3"/>
        </left>
        <right/>
        <top/>
        <bottom/>
      </border>
    </dxf>
    <dxf>
      <font>
        <strike val="0"/>
        <outline val="0"/>
        <shadow val="0"/>
        <u val="none"/>
        <vertAlign val="baseline"/>
        <sz val="12"/>
        <color theme="1"/>
        <name val="Times New Roman"/>
        <scheme val="none"/>
      </font>
      <border diagonalUp="0" diagonalDown="0">
        <left style="thin">
          <color indexed="64"/>
        </left>
        <right style="thin">
          <color indexed="64"/>
        </right>
        <top/>
        <bottom/>
        <vertical style="thin">
          <color indexed="64"/>
        </vertical>
        <horizontal style="thin">
          <color indexed="64"/>
        </horizontal>
      </border>
      <protection locked="1" hidden="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protection locked="0" hidden="0"/>
    </dxf>
    <dxf>
      <font>
        <b val="0"/>
        <strike val="0"/>
        <outline val="0"/>
        <shadow val="0"/>
        <u val="none"/>
        <vertAlign val="baseline"/>
        <sz val="12"/>
        <color auto="1"/>
        <name val="Times New Roman"/>
        <scheme val="none"/>
      </font>
      <fill>
        <patternFill patternType="solid">
          <fgColor indexed="64"/>
          <bgColor theme="2" tint="-0.249977111117893"/>
        </patternFill>
      </fill>
      <border diagonalUp="0" diagonalDown="0">
        <left style="thin">
          <color indexed="64"/>
        </left>
        <right style="thin">
          <color indexed="64"/>
        </right>
        <top/>
        <bottom/>
        <vertical style="thin">
          <color indexed="64"/>
        </vertical>
        <horizontal style="thin">
          <color indexed="64"/>
        </horizontal>
      </border>
      <protection locked="1" hidden="0"/>
    </dxf>
  </dxfs>
  <tableStyles count="0" defaultTableStyle="TableStyleMedium2" defaultPivotStyle="PivotStyleLight16"/>
  <colors>
    <mruColors>
      <color rgb="FFD1FA06"/>
      <color rgb="FFE2C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op20Exposures" displayName="Top20Exposures" ref="B15:G34" headerRowCount="0" totalsRowShown="0" headerRowDxfId="43" dataDxfId="42" totalsRowDxfId="40" tableBorderDxfId="41" dataCellStyle="Comma">
  <tableColumns count="6">
    <tableColumn id="1" xr3:uid="{00000000-0010-0000-0000-000001000000}" name="Customer Name" headerRowDxfId="39" dataDxfId="38" totalsRowDxfId="37"/>
    <tableColumn id="12" xr3:uid="{00000000-0010-0000-0000-00000C000000}" name="Loan Amount" headerRowDxfId="36" dataDxfId="35" totalsRowDxfId="34"/>
    <tableColumn id="6" xr3:uid="{00000000-0010-0000-0000-000006000000}" name="Tenor (Weeks)" headerRowDxfId="33" dataDxfId="32" totalsRowDxfId="31"/>
    <tableColumn id="9" xr3:uid="{00000000-0010-0000-0000-000009000000}" name="Principal Balance Outst." headerRowDxfId="30" dataDxfId="29" totalsRowDxfId="28" dataCellStyle="Comma"/>
    <tableColumn id="11" xr3:uid="{00000000-0010-0000-0000-00000B000000}" name="Account Status" headerRowDxfId="27" dataDxfId="26" totalsRowDxfId="25" dataCellStyle="Comma"/>
    <tableColumn id="3" xr3:uid="{00000000-0010-0000-0000-000003000000}" name="Value of Security" headerRowDxfId="24" dataDxfId="23" totalsRowDxfId="22" dataCellStyle="Comma"/>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op20Exposures2" displayName="Top20Exposures2" ref="B40:G59" headerRowCount="0" totalsRowShown="0" headerRowDxfId="21" dataDxfId="20" totalsRowDxfId="18" tableBorderDxfId="19" dataCellStyle="Comma">
  <tableColumns count="6">
    <tableColumn id="1" xr3:uid="{00000000-0010-0000-0100-000001000000}" name="Customer Name" headerRowDxfId="17" dataDxfId="16" totalsRowDxfId="15"/>
    <tableColumn id="12" xr3:uid="{00000000-0010-0000-0100-00000C000000}" name="Loan Amount" headerRowDxfId="14" dataDxfId="13" totalsRowDxfId="12"/>
    <tableColumn id="6" xr3:uid="{00000000-0010-0000-0100-000006000000}" name="Tenor (Weeks)" headerRowDxfId="11" dataDxfId="10" totalsRowDxfId="9"/>
    <tableColumn id="9" xr3:uid="{00000000-0010-0000-0100-000009000000}" name="Principal Balance Outst." headerRowDxfId="8" dataDxfId="7" totalsRowDxfId="6" dataCellStyle="Comma"/>
    <tableColumn id="11" xr3:uid="{00000000-0010-0000-0100-00000B000000}" name="Account Status" headerRowDxfId="5" dataDxfId="4" totalsRowDxfId="3" dataCellStyle="Comma"/>
    <tableColumn id="3" xr3:uid="{00000000-0010-0000-0100-000003000000}" name="Value of Security" headerRowDxfId="2" dataDxfId="1" totalsRowDxfId="0" dataCellStyle="Comma"/>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17"/>
  <sheetViews>
    <sheetView workbookViewId="0">
      <selection activeCell="B24" sqref="B24"/>
    </sheetView>
  </sheetViews>
  <sheetFormatPr defaultColWidth="9.28515625" defaultRowHeight="15" x14ac:dyDescent="0.25"/>
  <cols>
    <col min="1" max="1" width="9.28515625" style="108" customWidth="1"/>
    <col min="2" max="2" width="94" style="108" customWidth="1"/>
    <col min="3" max="3" width="9.28515625" style="108" customWidth="1"/>
    <col min="4" max="16384" width="9.28515625" style="108"/>
  </cols>
  <sheetData>
    <row r="1" spans="1:3" ht="15.75" x14ac:dyDescent="0.25">
      <c r="A1" s="106"/>
      <c r="B1" s="107" t="s">
        <v>0</v>
      </c>
    </row>
    <row r="2" spans="1:3" ht="15.75" x14ac:dyDescent="0.25">
      <c r="A2" s="106">
        <v>1</v>
      </c>
      <c r="B2" s="107" t="s">
        <v>1</v>
      </c>
      <c r="C2" s="109">
        <v>2</v>
      </c>
    </row>
    <row r="3" spans="1:3" ht="15.75" x14ac:dyDescent="0.25">
      <c r="A3" s="106">
        <v>2</v>
      </c>
      <c r="B3" s="107" t="s">
        <v>2</v>
      </c>
      <c r="C3" s="110">
        <v>44743</v>
      </c>
    </row>
    <row r="4" spans="1:3" ht="45" x14ac:dyDescent="0.25">
      <c r="A4" s="111">
        <v>3</v>
      </c>
      <c r="B4" s="104" t="s">
        <v>3</v>
      </c>
    </row>
    <row r="5" spans="1:3" ht="93.75" customHeight="1" x14ac:dyDescent="0.25">
      <c r="A5" s="111">
        <v>4</v>
      </c>
      <c r="B5" s="104" t="s">
        <v>134</v>
      </c>
    </row>
    <row r="6" spans="1:3" ht="30" x14ac:dyDescent="0.25">
      <c r="A6" s="111">
        <v>5</v>
      </c>
      <c r="B6" s="104" t="s">
        <v>135</v>
      </c>
    </row>
    <row r="7" spans="1:3" ht="30" x14ac:dyDescent="0.25">
      <c r="A7" s="111">
        <v>6</v>
      </c>
      <c r="B7" s="104" t="s">
        <v>4</v>
      </c>
    </row>
    <row r="8" spans="1:3" ht="45" x14ac:dyDescent="0.25">
      <c r="A8" s="111">
        <v>7</v>
      </c>
      <c r="B8" s="104" t="s">
        <v>5</v>
      </c>
    </row>
    <row r="9" spans="1:3" ht="30" x14ac:dyDescent="0.25">
      <c r="A9" s="112">
        <v>8</v>
      </c>
      <c r="B9" s="105" t="s">
        <v>6</v>
      </c>
    </row>
    <row r="10" spans="1:3" ht="30" x14ac:dyDescent="0.25">
      <c r="A10" s="112">
        <v>9</v>
      </c>
      <c r="B10" s="105" t="s">
        <v>142</v>
      </c>
    </row>
    <row r="11" spans="1:3" ht="60" x14ac:dyDescent="0.25">
      <c r="A11" s="112">
        <v>10</v>
      </c>
      <c r="B11" s="105" t="s">
        <v>7</v>
      </c>
    </row>
    <row r="13" spans="1:3" x14ac:dyDescent="0.25">
      <c r="B13" s="122" t="s">
        <v>148</v>
      </c>
    </row>
    <row r="14" spans="1:3" x14ac:dyDescent="0.25">
      <c r="B14" s="108" t="str">
        <f>C2&amp;"-"&amp;'Profit &amp; Loss Statement'!C9&amp;"-"&amp;'Profit &amp; Loss Statement'!C5&amp;"-"&amp;'Profit &amp; Loss Statement'!C7</f>
        <v>2-2026-
GCSCA-GT-0-0000288-JUNE</v>
      </c>
    </row>
    <row r="16" spans="1:3" x14ac:dyDescent="0.25">
      <c r="B16" s="122" t="s">
        <v>149</v>
      </c>
    </row>
    <row r="17" spans="2:2" x14ac:dyDescent="0.25">
      <c r="B17" s="123">
        <f>C2</f>
        <v>2</v>
      </c>
    </row>
  </sheetData>
  <sheetProtection selectLockedCells="1"/>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R25"/>
  <sheetViews>
    <sheetView zoomScale="95" zoomScaleNormal="120" workbookViewId="0">
      <selection activeCell="F10" sqref="F1:Q1048576"/>
    </sheetView>
  </sheetViews>
  <sheetFormatPr defaultColWidth="9.28515625" defaultRowHeight="15" x14ac:dyDescent="0.25"/>
  <cols>
    <col min="1" max="1" width="22.42578125" style="113" customWidth="1"/>
    <col min="2" max="2" width="11.7109375" style="113" customWidth="1"/>
    <col min="3" max="3" width="71.42578125" style="113" customWidth="1"/>
    <col min="4" max="4" width="5.5703125" style="113" customWidth="1"/>
    <col min="5" max="5" width="9.28515625" style="113" customWidth="1"/>
    <col min="6" max="6" width="27.7109375" style="113" hidden="1" customWidth="1"/>
    <col min="7" max="7" width="28.42578125" style="113" hidden="1" customWidth="1"/>
    <col min="8" max="9" width="54.28515625" style="113" hidden="1" customWidth="1"/>
    <col min="10" max="10" width="44" style="113" hidden="1" customWidth="1"/>
    <col min="11" max="11" width="29.7109375" style="113" hidden="1" customWidth="1"/>
    <col min="12" max="12" width="29.28515625" style="113" hidden="1" customWidth="1"/>
    <col min="13" max="13" width="24.7109375" style="113" hidden="1" customWidth="1"/>
    <col min="14" max="14" width="27.7109375" style="113" hidden="1" customWidth="1"/>
    <col min="15" max="15" width="25.28515625" style="113" hidden="1" customWidth="1"/>
    <col min="16" max="16" width="36.5703125" style="113" hidden="1" customWidth="1"/>
    <col min="17" max="17" width="53.42578125" style="113" hidden="1" customWidth="1"/>
    <col min="18" max="18" width="6.42578125" style="113" bestFit="1" customWidth="1"/>
    <col min="19" max="21" width="9.28515625" style="113" customWidth="1"/>
    <col min="22" max="16384" width="9.28515625" style="113"/>
  </cols>
  <sheetData>
    <row r="1" spans="1:18" ht="17.25" customHeight="1" x14ac:dyDescent="0.25">
      <c r="A1" s="124" t="s">
        <v>150</v>
      </c>
      <c r="B1" s="124">
        <v>10</v>
      </c>
    </row>
    <row r="2" spans="1:18" ht="22.5" customHeight="1" x14ac:dyDescent="0.25">
      <c r="A2" s="422" t="s">
        <v>136</v>
      </c>
      <c r="B2" s="422"/>
      <c r="C2" s="121" t="s">
        <v>147</v>
      </c>
      <c r="F2" s="113" t="s">
        <v>154</v>
      </c>
      <c r="G2" s="117" t="s">
        <v>137</v>
      </c>
      <c r="H2" s="117" t="s">
        <v>138</v>
      </c>
      <c r="I2" s="117" t="s">
        <v>248</v>
      </c>
      <c r="J2" s="117" t="s">
        <v>249</v>
      </c>
      <c r="K2" s="117" t="s">
        <v>250</v>
      </c>
      <c r="L2" s="117" t="s">
        <v>242</v>
      </c>
      <c r="M2" s="117" t="s">
        <v>251</v>
      </c>
      <c r="N2" s="117" t="s">
        <v>139</v>
      </c>
      <c r="O2" s="117" t="s">
        <v>140</v>
      </c>
      <c r="P2" s="117" t="s">
        <v>356</v>
      </c>
      <c r="Q2" s="117" t="s">
        <v>252</v>
      </c>
      <c r="R2" s="117" t="s">
        <v>141</v>
      </c>
    </row>
    <row r="3" spans="1:18" ht="28.5" customHeight="1" x14ac:dyDescent="0.25">
      <c r="A3" s="119" t="s">
        <v>154</v>
      </c>
      <c r="B3" s="120">
        <f>'Cover Sheet'!E1</f>
        <v>0</v>
      </c>
      <c r="C3" s="118" t="str">
        <f>IF(ISTEXT(F4),F4)&amp;IF(ISTEXT(F5),F5)&amp;IF(ISTEXT(F11),F11)&amp;IF(ISTEXT(F12),F12)&amp;IF(ISTEXT(F13),F13)&amp;IF(ISTEXT(F15),F15)&amp;IF(ISTEXT(F16),F16)</f>
        <v/>
      </c>
      <c r="G3" s="117"/>
      <c r="H3" s="117"/>
      <c r="I3" s="117"/>
      <c r="J3" s="117"/>
      <c r="K3" s="117"/>
      <c r="L3" s="117"/>
      <c r="M3" s="117"/>
      <c r="N3" s="117"/>
      <c r="O3" s="117"/>
      <c r="P3" s="117"/>
      <c r="Q3" s="117"/>
      <c r="R3" s="117"/>
    </row>
    <row r="4" spans="1:18" ht="42.75" customHeight="1" x14ac:dyDescent="0.25">
      <c r="A4" s="119" t="s">
        <v>137</v>
      </c>
      <c r="B4" s="120">
        <f>'Profit &amp; Loss Statement'!E1</f>
        <v>0</v>
      </c>
      <c r="C4" s="118" t="str">
        <f>IF(ISTEXT(G4),G4)&amp;IF(ISTEXT(G5),G5)&amp;IF(ISTEXT(G11),G11)&amp;IF(ISTEXT(G12),G12)&amp;IF(ISTEXT(G13),G13)&amp;IF(ISTEXT(G15),G15)&amp;IF(ISTEXT(G16),G16)&amp;IF(ISTEXT(G18),G18)&amp;IF(ISTEXT(G21),G21)</f>
        <v/>
      </c>
      <c r="F4" s="113" t="str">
        <f>IF('Cover Sheet'!D4=1, "Member Name Not Entered!; ", "")</f>
        <v/>
      </c>
      <c r="G4" s="113" t="str">
        <f>IF('Profit &amp; Loss Statement'!D4=1, "Member Name Not Entered!; ", "")</f>
        <v/>
      </c>
      <c r="H4" s="113" t="str">
        <f>IF('Balance Sheet'!D4=1, "Member Name Not Entered!; ", "")</f>
        <v/>
      </c>
      <c r="I4" s="113" t="str">
        <f>IF('Cash and Bank Notes'!D4=1, "Member Name Not Entered!; ", "")</f>
        <v/>
      </c>
      <c r="J4" s="113" t="str">
        <f>IF('Investment Details'!D4=1, "Member Name Not Entered!; ", "")</f>
        <v/>
      </c>
      <c r="K4" s="113" t="str">
        <f>IF('Acc Receivables &amp; Other Assets'!D4=1, "Member Name Not Entered!; ", "")</f>
        <v/>
      </c>
      <c r="L4" s="113" t="str">
        <f>IF(Borrowings!D4=1, "Member Name Not Entered!; ", "")</f>
        <v/>
      </c>
      <c r="M4" s="113" t="str">
        <f>IF('Other Liabilities'!D4=1, "Member Name Not Entered!; ", "")</f>
        <v/>
      </c>
      <c r="N4" s="113" t="str">
        <f>IF('Deposits Portfolio'!D4=1, "Member Name Not Entered!; ", "")</f>
        <v/>
      </c>
      <c r="O4" s="113" t="str">
        <f>IF('Outreach &amp; Social Performance'!D4=1, "Member Name Not Entered!; ", "")</f>
        <v/>
      </c>
      <c r="P4" s="113" t="str">
        <f>IF('Deposits Portfolio'!D4=1, "Member Name Not Entered!; ", "")</f>
        <v/>
      </c>
      <c r="Q4" s="113" t="str">
        <f>IF('Top Largest Depositors'!D4=1, "Member Name Not Entered!; ", "")</f>
        <v/>
      </c>
    </row>
    <row r="5" spans="1:18" ht="58.5" customHeight="1" x14ac:dyDescent="0.25">
      <c r="A5" s="119" t="s">
        <v>138</v>
      </c>
      <c r="B5" s="120">
        <f>'Balance Sheet'!E1</f>
        <v>0</v>
      </c>
      <c r="C5" s="118" t="str">
        <f>IF(ISTEXT(H4),H4)&amp;IF(ISTEXT(H5),H5)&amp;IF(ISTEXT(H11),H11)&amp;IF(ISTEXT(H12),H12)&amp;IF(ISTEXT(H13),H13)&amp;IF(ISTEXT(H15),H15)&amp;IF(ISTEXT(H16),H16)&amp;IF(ISTEXT(H17),H17)&amp;IF(ISTEXT(H18),H18)&amp;IF(ISTEXT(H19),H19)&amp;IF(ISTEXT(H21),H21)&amp;IF(ISTEXT(H23),H23)&amp;IF(ISTEXT(H24),H24)&amp;IF(ISTEXT(H25),H25)</f>
        <v/>
      </c>
      <c r="F5" s="113" t="str">
        <f>IF('Cover Sheet'!D5=1, "Member Code Not Entered!; ", "")</f>
        <v/>
      </c>
      <c r="G5" s="113" t="str">
        <f>IF('Profit &amp; Loss Statement'!D5=1, "Member Code Not Entered!; ", "")</f>
        <v/>
      </c>
      <c r="H5" s="113" t="str">
        <f>IF('Balance Sheet'!D5=1, "Member Code Not Entered!; ", "")</f>
        <v/>
      </c>
      <c r="I5" s="113" t="str">
        <f>IF('Cash and Bank Notes'!D5=1, "Member Code Not Entered!; ", "")</f>
        <v/>
      </c>
      <c r="J5" s="113" t="str">
        <f>IF('Investment Details'!D5=1, "Member Code Not Entered!; ", "")</f>
        <v/>
      </c>
      <c r="K5" s="113" t="str">
        <f>IF('Acc Receivables &amp; Other Assets'!D5=1, "Member Code Not Entered!; ", "")</f>
        <v/>
      </c>
      <c r="L5" s="113" t="str">
        <f>IF(Borrowings!D5=1, "Member Code Not Entered!; ", "")</f>
        <v/>
      </c>
      <c r="M5" s="113" t="str">
        <f>IF('Other Liabilities'!D5=1, "Member Code Not Entered!; ", "")</f>
        <v/>
      </c>
      <c r="N5" s="113" t="str">
        <f>IF('Deposits Portfolio'!D5=1, "Member Code Not Entered!; ", "")</f>
        <v/>
      </c>
      <c r="O5" s="113" t="str">
        <f>IF('Outreach &amp; Social Performance'!D5=1, "Member Code Not Entered!; ", "")</f>
        <v/>
      </c>
      <c r="P5" s="113" t="str">
        <f>IF('Deposits Portfolio'!D5=1, "Member Code Not Entered!; ", "")</f>
        <v/>
      </c>
      <c r="Q5" s="113" t="str">
        <f>IF('Top Largest Depositors'!D5=1, "Member Code Not Entered!; ", "")</f>
        <v/>
      </c>
    </row>
    <row r="6" spans="1:18" ht="24.75" customHeight="1" x14ac:dyDescent="0.25">
      <c r="A6" s="119" t="s">
        <v>248</v>
      </c>
      <c r="B6" s="120">
        <f>'Cash and Bank Notes'!E1</f>
        <v>0</v>
      </c>
      <c r="C6" s="118" t="str">
        <f>IF(ISTEXT(I4),I4)&amp;IF(ISTEXT(I5),I5)&amp;IF(ISTEXT(I11),I11)&amp;IF(ISTEXT(I12),I12)&amp;IF(ISTEXT(I13),I13)&amp;IF(ISTEXT(I15),I15)&amp;IF(ISTEXT(I16),I16)&amp;IF(ISTEXT(I17),I17)</f>
        <v/>
      </c>
      <c r="O6" s="114"/>
    </row>
    <row r="7" spans="1:18" ht="24.75" customHeight="1" x14ac:dyDescent="0.25">
      <c r="A7" s="119" t="s">
        <v>249</v>
      </c>
      <c r="B7" s="120">
        <f>'Investment Details'!E1</f>
        <v>0</v>
      </c>
      <c r="C7" s="118" t="str">
        <f>IF(ISTEXT(J4),J4)&amp;IF(ISTEXT(J5),J5)&amp;IF(ISTEXT(J11),J11)&amp;IF(ISTEXT(J12),J12)&amp;IF(ISTEXT(J13),J13)&amp;IF(ISTEXT(J15),J15)&amp;IF(ISTEXT(J16),J16)</f>
        <v/>
      </c>
      <c r="O7" s="114"/>
    </row>
    <row r="8" spans="1:18" ht="42" customHeight="1" x14ac:dyDescent="0.25">
      <c r="A8" s="119" t="s">
        <v>250</v>
      </c>
      <c r="B8" s="120">
        <f>'Acc Receivables &amp; Other Assets'!E1</f>
        <v>0</v>
      </c>
      <c r="C8" s="118" t="str">
        <f>IF(ISTEXT(K4),K4)&amp;IF(ISTEXT(K5),K5)&amp;IF(ISTEXT(K11),K11)&amp;IF(ISTEXT(K12),K12)&amp;IF(ISTEXT(K13),K13)&amp;IF(ISTEXT(K15),K15)&amp;IF(ISTEXT(K16),K16)</f>
        <v/>
      </c>
      <c r="O8" s="114"/>
    </row>
    <row r="9" spans="1:18" ht="29.25" customHeight="1" x14ac:dyDescent="0.25">
      <c r="A9" s="119" t="s">
        <v>242</v>
      </c>
      <c r="B9" s="120">
        <f>Borrowings!E1</f>
        <v>0</v>
      </c>
      <c r="C9" s="118" t="str">
        <f>IF(ISTEXT(L4),L4)&amp;IF(ISTEXT(L5),L5)&amp;IF(ISTEXT(L11),L11)&amp;IF(ISTEXT(L12),L12)&amp;IF(ISTEXT(L13),L13)&amp;IF(ISTEXT(L15),L15)&amp;IF(ISTEXT(L16),L16)&amp;IF(ISTEXT(L17),L17)</f>
        <v/>
      </c>
    </row>
    <row r="10" spans="1:18" ht="24.75" customHeight="1" x14ac:dyDescent="0.25">
      <c r="A10" s="119" t="s">
        <v>251</v>
      </c>
      <c r="B10" s="120">
        <f>'Other Liabilities'!E1</f>
        <v>0</v>
      </c>
      <c r="C10" s="118" t="str">
        <f>IF(ISTEXT(M4),M4)&amp;IF(ISTEXT(M5),M5)&amp;IF(ISTEXT(M11),M11)&amp;IF(ISTEXT(M12),M12)&amp;IF(ISTEXT(M13),M13)&amp;IF(ISTEXT(M15),M15)&amp;IF(ISTEXT(M16),M16)</f>
        <v/>
      </c>
    </row>
    <row r="11" spans="1:18" ht="30" hidden="1" customHeight="1" x14ac:dyDescent="0.25">
      <c r="A11" s="119"/>
      <c r="B11" s="120"/>
      <c r="C11" s="118"/>
      <c r="F11" s="113" t="str">
        <f>IF('Cover Sheet'!D6=1, "Return Code Not Entered!; ", "")</f>
        <v/>
      </c>
      <c r="G11" s="113" t="str">
        <f>IF('Profit &amp; Loss Statement'!D6=1, "Return Code Not Entered!; ", "")</f>
        <v/>
      </c>
      <c r="H11" s="113" t="str">
        <f>IF('Balance Sheet'!D6=1, "Return Code Not Entered!; ", "")</f>
        <v/>
      </c>
      <c r="I11" s="113" t="str">
        <f>IF('Cash and Bank Notes'!D6=1, "Return Code Not Entered!; ", "")</f>
        <v/>
      </c>
      <c r="J11" s="113" t="str">
        <f>IF('Investment Details'!D6=1, "Return Code Not Entered!; ", "")</f>
        <v/>
      </c>
      <c r="K11" s="113" t="str">
        <f>IF('Acc Receivables &amp; Other Assets'!D6=1, "Return Code Not Entered!; ", "")</f>
        <v/>
      </c>
      <c r="L11" s="113" t="str">
        <f>IF(Borrowings!D6=1, "Return Code Not Entered!; ", "")</f>
        <v/>
      </c>
      <c r="M11" s="113" t="str">
        <f>IF('Other Liabilities'!D6=1, "Return Code Not Entered!; ", "")</f>
        <v/>
      </c>
      <c r="N11" s="113" t="e">
        <f>IF(#REF!=1, "Return Code Not Entered!; ", "")</f>
        <v>#REF!</v>
      </c>
      <c r="O11" s="113" t="str">
        <f>IF('Outreach &amp; Social Performance'!D6=1, "Return Code Not Entered!; ", "")</f>
        <v/>
      </c>
      <c r="P11" s="113" t="str">
        <f>IF('Deposits Portfolio'!D6=1, "Return Code Not Entered!; ", "")</f>
        <v/>
      </c>
      <c r="Q11" s="113" t="str">
        <f>IF('Deposits Portfolio'!E6=1, "Return Code Not Entered!; ", "")</f>
        <v/>
      </c>
    </row>
    <row r="12" spans="1:18" ht="34.5" customHeight="1" x14ac:dyDescent="0.25">
      <c r="A12" s="119" t="s">
        <v>140</v>
      </c>
      <c r="B12" s="120">
        <f>'Outreach &amp; Social Performance'!E1</f>
        <v>0</v>
      </c>
      <c r="C12" s="118" t="str">
        <f>IF(ISTEXT(O4),O4)&amp;IF(ISTEXT(O5),O5)&amp;IF(ISTEXT(O11),O11)&amp;IF(ISTEXT(O12),O12)&amp;IF(ISTEXT(O13),O13)&amp;IF(ISTEXT(O15),O15)&amp;IF(ISTEXT(O16),O16)&amp;IF(ISTEXT(O17),O17)&amp;IF(ISTEXT(O19),O19)</f>
        <v/>
      </c>
      <c r="F12" s="113" t="str">
        <f>IF('Cover Sheet'!D7=1, "Year not entered!; ","")</f>
        <v/>
      </c>
      <c r="G12" s="113" t="str">
        <f>IF('Profit &amp; Loss Statement'!D7=1, "Reporting Period Not Entered!; ","")</f>
        <v/>
      </c>
      <c r="H12" s="113" t="str">
        <f>IF('Balance Sheet'!D7=1, "Reporting Period Not Entered!; ","")</f>
        <v/>
      </c>
      <c r="I12" s="113" t="str">
        <f>IF('Cash and Bank Notes'!D7=1, "Reporting Period Not Entered!; ","")</f>
        <v/>
      </c>
      <c r="J12" s="113" t="str">
        <f>IF('Investment Details'!D7=1, "Reporting Period Not Entered!; ","")</f>
        <v/>
      </c>
      <c r="K12" s="113" t="str">
        <f>IF('Acc Receivables &amp; Other Assets'!D7=1, "Reporting Period Not Entered!; ","")</f>
        <v/>
      </c>
      <c r="L12" s="113" t="str">
        <f>IF(Borrowings!D7=1, "Reporting Period Not Entered!; ","")</f>
        <v/>
      </c>
      <c r="M12" s="113" t="str">
        <f>IF('Other Liabilities'!D7=1, "Reporting Period Not Entered!; ","")</f>
        <v/>
      </c>
      <c r="N12" s="113" t="str">
        <f>IF('Deposits Portfolio'!D7=1, "Reporting Period Not Entered!; ","")</f>
        <v/>
      </c>
      <c r="O12" s="113" t="str">
        <f>IF('Outreach &amp; Social Performance'!D7=1, "Reporting Period Not Entered!; ","")</f>
        <v/>
      </c>
      <c r="P12" s="113" t="str">
        <f>IF('Deposits Portfolio'!D7=1, "Reporting Period Not Entered!; ","")</f>
        <v/>
      </c>
      <c r="Q12" s="113" t="str">
        <f>IF('Top Largest Depositors'!D7=1, "Reporting Period Not Entered!; ","")</f>
        <v/>
      </c>
    </row>
    <row r="13" spans="1:18" ht="45" x14ac:dyDescent="0.25">
      <c r="A13" s="119" t="s">
        <v>341</v>
      </c>
      <c r="B13" s="120">
        <f>'Deposits Portfolio'!E1</f>
        <v>0</v>
      </c>
      <c r="C13" s="118" t="str">
        <f>IF(ISTEXT(P4),P4)&amp;IF(ISTEXT(P5),P5)&amp;IF(ISTEXT(P11),P11)&amp;IF(ISTEXT(P12),P12)&amp;IF(ISTEXT(P13),P13)&amp;IF(ISTEXT(P15),P15)&amp;IF(ISTEXT(P16),P16)&amp;IF(ISTEXT(P17),P17)&amp;IF(ISTEXT(P18),P18)</f>
        <v/>
      </c>
      <c r="F13" s="113" t="str">
        <f>IF('Cover Sheet'!D8=1, "Reporting Quarter Not Entered!; ","")</f>
        <v/>
      </c>
      <c r="G13" s="113" t="str">
        <f>IF('Profit &amp; Loss Statement'!D8=1, "Reporting Date Not Entered!; ","")</f>
        <v/>
      </c>
      <c r="H13" s="113" t="str">
        <f>IF('Balance Sheet'!D8=1, "Reporting Date Not Entered!; ","")</f>
        <v/>
      </c>
      <c r="I13" s="113" t="str">
        <f>IF('Cash and Bank Notes'!D8=1, "Reporting Date Not Entered!; ","")</f>
        <v/>
      </c>
      <c r="J13" s="113" t="str">
        <f>IF('Investment Details'!D8=1, "Reporting Date Not Entered!; ","")</f>
        <v/>
      </c>
      <c r="K13" s="113" t="str">
        <f>IF('Acc Receivables &amp; Other Assets'!D8=1, "Reporting Date Not Entered!; ","")</f>
        <v/>
      </c>
      <c r="L13" s="113" t="str">
        <f>IF(Borrowings!D8=1, "Reporting Date Not Entered!; ","")</f>
        <v/>
      </c>
      <c r="M13" s="113" t="str">
        <f>IF('Other Liabilities'!D8=1, "Reporting Date Not Entered!; ","")</f>
        <v/>
      </c>
      <c r="N13" s="113" t="str">
        <f>IF('Deposits Portfolio'!D8=1, "Reporting Date Not Entered!; ","")</f>
        <v/>
      </c>
      <c r="O13" s="113" t="str">
        <f>IF('Outreach &amp; Social Performance'!D8=1, "Reporting Date Not Entered!; ","")</f>
        <v/>
      </c>
      <c r="P13" s="113" t="str">
        <f>IF('Deposits Portfolio'!D8=1, "Reporting Date Not Entered!; ","")</f>
        <v/>
      </c>
      <c r="Q13" s="113" t="str">
        <f>IF('Top Largest Depositors'!D8=1, "Reporting Date Not Entered!; ","")</f>
        <v/>
      </c>
    </row>
    <row r="14" spans="1:18" ht="45" x14ac:dyDescent="0.25">
      <c r="A14" s="119" t="s">
        <v>252</v>
      </c>
      <c r="B14" s="120">
        <f>'Top Largest Depositors'!E1</f>
        <v>0</v>
      </c>
      <c r="C14" s="118" t="str">
        <f>IF(ISTEXT(Q4),Q4)&amp;IF(ISTEXT(Q5),Q5)&amp;IF(ISTEXT(Q11),Q11)&amp;IF(ISTEXT(Q12),Q12)&amp;IF(ISTEXT(Q13),Q13)&amp;IF(ISTEXT(Q15),Q15)&amp;IF(ISTEXT(Q16),Q16)&amp;IF(ISTEXT(Q17),Q17)</f>
        <v/>
      </c>
    </row>
    <row r="15" spans="1:18" ht="30" customHeight="1" x14ac:dyDescent="0.25">
      <c r="A15" s="119" t="s">
        <v>141</v>
      </c>
      <c r="B15" s="120">
        <f>Ratios!G1</f>
        <v>0</v>
      </c>
      <c r="C15" s="118" t="str">
        <f>IF(R4 = "","",R4)&amp;IF(R5 = "","",R5)&amp;IF(R11 = "","",R11)&amp;IF(R12 = "","",R12)&amp;IF(R13 = "","",R13)&amp;IF(R15 = "","",R15)</f>
        <v/>
      </c>
      <c r="F15" s="113" t="str">
        <f>IF('Cover Sheet'!D9=1, "Reporting Date not populated!; ","")</f>
        <v/>
      </c>
      <c r="G15" s="113" t="str">
        <f>IF('Profit &amp; Loss Statement'!D9=1, "Year Not Entered!; ","")</f>
        <v/>
      </c>
      <c r="H15" s="113" t="str">
        <f>IF('Balance Sheet'!D9=1, "Year Not Entered!; ","")</f>
        <v/>
      </c>
      <c r="I15" s="113" t="str">
        <f>IF('Cash and Bank Notes'!D9=1, "Year Not Entered!; ","")</f>
        <v/>
      </c>
      <c r="J15" s="113" t="str">
        <f>IF('Investment Details'!D9=1, "Year Not Entered!; ","")</f>
        <v/>
      </c>
      <c r="K15" s="113" t="str">
        <f>IF('Acc Receivables &amp; Other Assets'!D9=1, "Year Not Entered!; ","")</f>
        <v/>
      </c>
      <c r="L15" s="113" t="str">
        <f>IF(Borrowings!D9=1, "Year Not Entered!; ","")</f>
        <v/>
      </c>
      <c r="M15" s="113" t="str">
        <f>IF('Other Liabilities'!D9=1, "Year Not Entered!; ","")</f>
        <v/>
      </c>
      <c r="N15" s="113" t="str">
        <f>IF('Deposits Portfolio'!D9=1, "Year Not Entered!; ","")</f>
        <v/>
      </c>
      <c r="O15" s="113" t="str">
        <f>IF('Outreach &amp; Social Performance'!D9=1, "Year Not Entered!; ","")</f>
        <v/>
      </c>
      <c r="P15" s="113" t="str">
        <f>IF('Deposits Portfolio'!D9=1, "Year Not Entered!; ","")</f>
        <v/>
      </c>
      <c r="Q15" s="113" t="str">
        <f>IF('Top Largest Depositors'!D9=1, "Year Not Entered!; ","")</f>
        <v/>
      </c>
    </row>
    <row r="16" spans="1:18" x14ac:dyDescent="0.25">
      <c r="F16" s="113" t="str">
        <f>IF('Cover Sheet'!D10=1, "Region not populated!; ","")</f>
        <v/>
      </c>
      <c r="G16" s="113" t="str">
        <f>IF('Profit &amp; Loss Statement'!D10=1, "Region not populated!; ","")</f>
        <v/>
      </c>
      <c r="H16" s="113" t="str">
        <f>IF('Balance Sheet'!D20&lt;&gt;'Balance Sheet'!D36, "Total Assets MUST be equal to Total Liabilities and Equity!; ","")</f>
        <v/>
      </c>
      <c r="I16" s="113" t="str">
        <f>IF('Cash and Bank Notes'!D10=1, "Region not populated!; ","")</f>
        <v/>
      </c>
      <c r="J16" s="113" t="str">
        <f>IF('Investment Details'!D10=1, "Region not populated!; ","")</f>
        <v/>
      </c>
      <c r="K16" s="113" t="str">
        <f>IF('Acc Receivables &amp; Other Assets'!D10=1, "Region not populated!; ","")</f>
        <v/>
      </c>
      <c r="L16" s="113" t="str">
        <f>IF(Borrowings!D10=1, "Region not populated!; ","")</f>
        <v/>
      </c>
      <c r="M16" s="113" t="str">
        <f>IF('Other Liabilities'!D10=1, "Region not populated!; ","")</f>
        <v/>
      </c>
      <c r="N16" s="113" t="str">
        <f>IF('Deposits Portfolio'!D10=1, "Region not populated!; ","")</f>
        <v/>
      </c>
      <c r="O16" s="113" t="str">
        <f>IF('Outreach &amp; Social Performance'!D10=1, "Region not populated!; ","")</f>
        <v/>
      </c>
      <c r="P16" s="113" t="str">
        <f>IF('Deposits Portfolio'!D10=1, "Region not populated!; ","")</f>
        <v/>
      </c>
      <c r="Q16" s="113" t="str">
        <f>IF('Top Largest Depositors'!D10=1, "Region not populated!; ","")</f>
        <v/>
      </c>
    </row>
    <row r="17" spans="1:17" s="114" customFormat="1" x14ac:dyDescent="0.25">
      <c r="H17" s="114" t="str">
        <f>IF('Balance Sheet'!D13="", "Cash on hand and Due from Bank cannot be empty!; ","")</f>
        <v/>
      </c>
      <c r="I17" s="114" t="str">
        <f>IF('Cash and Bank Notes'!C15=0, "Cash and bank Notes cannot be zero!; ","")</f>
        <v/>
      </c>
      <c r="L17" s="114" t="str">
        <f>IF(Borrowings!J63&gt;0, "Balance Outstanding cannot be more than Borrowed Amount!; ","")</f>
        <v/>
      </c>
      <c r="O17" s="114" t="str">
        <f>IF('Outreach &amp; Social Performance'!D22=0, "Number of Management staff cannot be empty!; ","")</f>
        <v/>
      </c>
      <c r="P17" s="114" t="str">
        <f>IF('Deposits Portfolio'!E16&lt;&gt;'Deposits Portfolio'!E22, "Total Susu/deposit balance amount MUST be equal to Total Clients Susu Balances!; ","")</f>
        <v/>
      </c>
      <c r="Q17" s="114" t="str">
        <f>IF('Top Largest Depositors'!E12=0, "Top Twenty (20) Largest Depositors sheet cannot be zero!; ","")</f>
        <v/>
      </c>
    </row>
    <row r="18" spans="1:17" s="114" customFormat="1" ht="15.75" x14ac:dyDescent="0.25">
      <c r="A18" s="115" t="s">
        <v>143</v>
      </c>
      <c r="G18" s="114" t="str">
        <f>IF('Profit &amp; Loss Statement'!D20="", "Depreciation and Amortization Expense cannot be empty!; ","")</f>
        <v/>
      </c>
      <c r="H18" s="114" t="str">
        <f>IF('Balance Sheet'!D13=0, "Cash on hand and Due from Bank cannot be zero!; ","")</f>
        <v/>
      </c>
      <c r="P18" s="114" t="str">
        <f>IF('Deposits Portfolio'!D16&lt;&gt;'Deposits Portfolio'!D22, "Number of Susu/Deposit balances MUST be equal to number of Total Clients!; ","")</f>
        <v/>
      </c>
    </row>
    <row r="19" spans="1:17" s="114" customFormat="1" ht="32.25" customHeight="1" x14ac:dyDescent="0.25">
      <c r="A19" s="116">
        <v>1</v>
      </c>
      <c r="B19" s="423" t="s">
        <v>144</v>
      </c>
      <c r="C19" s="424"/>
      <c r="G19" s="417" t="s">
        <v>425</v>
      </c>
      <c r="H19" s="114" t="str">
        <f>IF('Balance Sheet'!D22=0, "Susu Savings/Deposit Portfolio cannot be empty!; ","")</f>
        <v/>
      </c>
      <c r="O19" s="114" t="str">
        <f>IF('Outreach &amp; Social Performance'!D15=0, "Number of Personnel(staff) cannot be empty!; ","")</f>
        <v/>
      </c>
    </row>
    <row r="20" spans="1:17" s="114" customFormat="1" x14ac:dyDescent="0.25">
      <c r="A20" s="116">
        <v>2</v>
      </c>
      <c r="B20" s="423" t="s">
        <v>145</v>
      </c>
      <c r="C20" s="424"/>
    </row>
    <row r="21" spans="1:17" s="114" customFormat="1" ht="33.75" customHeight="1" x14ac:dyDescent="0.25">
      <c r="A21" s="116">
        <v>3</v>
      </c>
      <c r="B21" s="423" t="s">
        <v>146</v>
      </c>
      <c r="C21" s="424"/>
      <c r="G21" s="114" t="str">
        <f>IF('Profit &amp; Loss Statement'!D20&lt;0, "Depreciation and Amortization Expense cannot be negative!; ","")</f>
        <v/>
      </c>
      <c r="H21" s="114" t="str">
        <f>IF('Balance Sheet'!D10=1, "Region not populated!; ","")</f>
        <v/>
      </c>
    </row>
    <row r="22" spans="1:17" s="114" customFormat="1" x14ac:dyDescent="0.25"/>
    <row r="23" spans="1:17" s="114" customFormat="1" x14ac:dyDescent="0.25">
      <c r="H23" s="114" t="str">
        <f>IF('Balance Sheet'!D17=0,"Fixed Asset cannot be Empty!; ","")</f>
        <v/>
      </c>
    </row>
    <row r="24" spans="1:17" s="114" customFormat="1" x14ac:dyDescent="0.25">
      <c r="H24" s="114" t="str">
        <f>IF('Balance Sheet'!D18=0,"Accumulated Depreciation cannot be Empty!; ","")</f>
        <v/>
      </c>
    </row>
    <row r="25" spans="1:17" x14ac:dyDescent="0.25">
      <c r="H25" s="113" t="str">
        <f>IF('Balance Sheet'!D30=0,"Paid up capital cannot be Empty!; ","")</f>
        <v/>
      </c>
    </row>
  </sheetData>
  <sheetProtection algorithmName="SHA-512" hashValue="6eZQLfvyTOPSKh0bs7vOAxE5i3t/V0vkm+qXsmUtt7VTjFwX6B2v/4HpcDAdKrl7L+zN7uvHS8Wdehse4137Gw==" saltValue="ZaFrnGbOk0UJlpgt3N7Glw==" spinCount="100000" sheet="1" selectLockedCells="1"/>
  <mergeCells count="4">
    <mergeCell ref="A2:B2"/>
    <mergeCell ref="B19:C19"/>
    <mergeCell ref="B20:C20"/>
    <mergeCell ref="B21:C21"/>
  </mergeCells>
  <pageMargins left="0.7" right="0.7" top="0.75" bottom="0.75" header="0.3" footer="0.3"/>
  <ignoredErrors>
    <ignoredError sqref="H2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0"/>
  </sheetPr>
  <dimension ref="A1:K281"/>
  <sheetViews>
    <sheetView tabSelected="1" workbookViewId="0">
      <selection activeCell="C8" sqref="C8"/>
    </sheetView>
  </sheetViews>
  <sheetFormatPr defaultColWidth="9.28515625" defaultRowHeight="15.75" x14ac:dyDescent="0.25"/>
  <cols>
    <col min="1" max="1" width="6.7109375" style="9" customWidth="1"/>
    <col min="2" max="2" width="52.5703125" style="10" customWidth="1"/>
    <col min="3" max="3" width="78.7109375" style="8" customWidth="1"/>
    <col min="4" max="4" width="29.28515625" style="11" customWidth="1"/>
    <col min="5" max="5" width="15.28515625" style="13" customWidth="1"/>
    <col min="6" max="7" width="9.28515625" style="13"/>
    <col min="8" max="9" width="9.28515625" style="13" customWidth="1"/>
    <col min="10" max="10" width="11.28515625" style="13" hidden="1" customWidth="1"/>
    <col min="11" max="11" width="5" style="13" hidden="1" customWidth="1"/>
    <col min="12" max="16384" width="9.28515625" style="13"/>
  </cols>
  <sheetData>
    <row r="1" spans="1:11" s="14" customFormat="1" ht="18.75" x14ac:dyDescent="0.25">
      <c r="A1" s="425" t="s">
        <v>269</v>
      </c>
      <c r="B1" s="425"/>
      <c r="C1" s="425"/>
      <c r="D1" s="425"/>
      <c r="E1" s="46">
        <f>SUM(D4:D10)</f>
        <v>0</v>
      </c>
      <c r="F1" s="47" t="str">
        <f>IF(SUM(D4:D9)=0,"","Error!")</f>
        <v/>
      </c>
      <c r="J1" s="14" t="s">
        <v>298</v>
      </c>
      <c r="K1" s="128" t="str">
        <f ca="1">TEXT(TODAY()-90, "YYYY")</f>
        <v>2026</v>
      </c>
    </row>
    <row r="2" spans="1:11" s="14" customFormat="1" ht="18.75" x14ac:dyDescent="0.25">
      <c r="A2" s="425" t="s">
        <v>8</v>
      </c>
      <c r="B2" s="425"/>
      <c r="C2" s="425"/>
      <c r="D2" s="425"/>
      <c r="J2" s="14" t="s">
        <v>299</v>
      </c>
      <c r="K2" s="128" t="str">
        <f ca="1">TEXT(TODAY() -90 + 365, "YYYY")</f>
        <v>2027</v>
      </c>
    </row>
    <row r="3" spans="1:11" x14ac:dyDescent="0.25">
      <c r="A3" s="15"/>
      <c r="J3" s="14" t="s">
        <v>300</v>
      </c>
      <c r="K3" s="129" t="str">
        <f ca="1">TEXT(TODAY() - 90 + 730, "YYYY")</f>
        <v>2028</v>
      </c>
    </row>
    <row r="4" spans="1:11" s="16" customFormat="1" x14ac:dyDescent="0.25">
      <c r="B4" s="17" t="s">
        <v>9</v>
      </c>
      <c r="C4" s="131" t="s">
        <v>426</v>
      </c>
      <c r="D4" s="18">
        <f>IF(C4="",1,IF(ISTEXT(C4),0,1))+IF(OR(ISNUMBER(LEFT(C4)),LEFT(C4)=" "),1,0)</f>
        <v>0</v>
      </c>
      <c r="I4" s="14"/>
      <c r="J4" s="14" t="s">
        <v>301</v>
      </c>
    </row>
    <row r="5" spans="1:11" s="16" customFormat="1" ht="31.5" x14ac:dyDescent="0.25">
      <c r="B5" s="17" t="s">
        <v>358</v>
      </c>
      <c r="C5" s="446" t="s">
        <v>427</v>
      </c>
      <c r="D5" s="18">
        <f>IF(C5="",1,IF(ISTEXT(C5),0,1))+IF(OR(ISNUMBER(LEFT(C5)),LEFT(C5)=" "),1,0)</f>
        <v>0</v>
      </c>
      <c r="I5" s="14"/>
      <c r="J5" s="14" t="s">
        <v>302</v>
      </c>
    </row>
    <row r="6" spans="1:11" s="19" customFormat="1" x14ac:dyDescent="0.25">
      <c r="B6" s="17" t="s">
        <v>11</v>
      </c>
      <c r="C6" s="130" t="s">
        <v>270</v>
      </c>
      <c r="D6" s="18">
        <f>IF(C6="",1,IF(ISTEXT(C6),0,1))</f>
        <v>0</v>
      </c>
      <c r="I6" s="13"/>
      <c r="J6" s="14" t="s">
        <v>303</v>
      </c>
    </row>
    <row r="7" spans="1:11" s="19" customFormat="1" x14ac:dyDescent="0.25">
      <c r="B7" s="17" t="s">
        <v>14</v>
      </c>
      <c r="C7" s="127" t="s">
        <v>428</v>
      </c>
      <c r="D7" s="18">
        <f>IF(C7="",1,0)</f>
        <v>0</v>
      </c>
      <c r="I7" s="14"/>
      <c r="J7" s="14" t="s">
        <v>304</v>
      </c>
    </row>
    <row r="8" spans="1:11" s="16" customFormat="1" x14ac:dyDescent="0.25">
      <c r="B8" s="17" t="s">
        <v>296</v>
      </c>
      <c r="C8" s="358" t="s">
        <v>303</v>
      </c>
      <c r="D8" s="18">
        <f>IF(C8="",1,IF(ISTEXT(C8),0,1))</f>
        <v>0</v>
      </c>
      <c r="I8" s="14"/>
      <c r="J8" s="14" t="s">
        <v>305</v>
      </c>
    </row>
    <row r="9" spans="1:11" s="19" customFormat="1" x14ac:dyDescent="0.25">
      <c r="B9" s="17" t="s">
        <v>13</v>
      </c>
      <c r="C9" s="132" t="str">
        <f>IF(SUM(C12:C13)=2, C11&amp;" "&amp;C14, "")</f>
        <v>July 2026</v>
      </c>
      <c r="D9" s="18">
        <f>IF(C9="",1, 0)</f>
        <v>0</v>
      </c>
      <c r="I9" s="13"/>
      <c r="J9" s="14" t="s">
        <v>306</v>
      </c>
    </row>
    <row r="10" spans="1:11" s="19" customFormat="1" x14ac:dyDescent="0.25">
      <c r="B10" s="17" t="s">
        <v>156</v>
      </c>
      <c r="C10" s="139" t="s">
        <v>162</v>
      </c>
      <c r="D10" s="18">
        <f>IF(C10="",1, 0)</f>
        <v>0</v>
      </c>
      <c r="I10" s="13"/>
      <c r="J10" s="14" t="s">
        <v>307</v>
      </c>
    </row>
    <row r="11" spans="1:11" hidden="1" x14ac:dyDescent="0.25">
      <c r="A11" s="5"/>
      <c r="B11" s="6"/>
      <c r="C11" s="8" t="str">
        <f>IF(C8="January","February",IF(C8="February","March",IF(C8="March","April",IF(C8="April","May",IF(C8="May","June",IF(C8="June","July",IF(C8="July","August",IF(C8="August","September",IF(C8="September","October",IF(C8="October","November",IF(C8="November","December",IF(C8="December","January",""))))))))))))</f>
        <v>July</v>
      </c>
      <c r="D11" s="7"/>
      <c r="I11" s="14"/>
      <c r="J11" s="14" t="s">
        <v>308</v>
      </c>
    </row>
    <row r="12" spans="1:11" hidden="1" x14ac:dyDescent="0.25">
      <c r="A12" s="5"/>
      <c r="B12" s="6"/>
      <c r="C12" s="8">
        <f>IF(ISBLANK(C7), 0, 1)</f>
        <v>1</v>
      </c>
      <c r="D12" s="7" t="s">
        <v>153</v>
      </c>
      <c r="J12" s="14" t="s">
        <v>309</v>
      </c>
    </row>
    <row r="13" spans="1:11" hidden="1" x14ac:dyDescent="0.25">
      <c r="C13" s="8">
        <f>IF(ISBLANK(C8), 0,1)</f>
        <v>1</v>
      </c>
      <c r="D13" s="7" t="s">
        <v>310</v>
      </c>
      <c r="I13" s="14"/>
      <c r="J13" s="14"/>
    </row>
    <row r="14" spans="1:11" hidden="1" x14ac:dyDescent="0.25">
      <c r="C14" s="8" t="str">
        <f>IF(C11="", "", IF(C11="January", C7+1, C7))</f>
        <v>2026</v>
      </c>
      <c r="D14" s="7"/>
      <c r="I14" s="14"/>
      <c r="J14" s="14"/>
    </row>
    <row r="15" spans="1:11" hidden="1" x14ac:dyDescent="0.25">
      <c r="D15" s="7"/>
      <c r="J15" s="14"/>
    </row>
    <row r="16" spans="1:11" hidden="1" x14ac:dyDescent="0.25">
      <c r="D16" s="7"/>
      <c r="I16" s="14"/>
      <c r="J16" s="14"/>
    </row>
    <row r="17" spans="2:10" hidden="1" x14ac:dyDescent="0.25">
      <c r="I17" s="14"/>
      <c r="J17" s="14"/>
    </row>
    <row r="18" spans="2:10" hidden="1" x14ac:dyDescent="0.25">
      <c r="B18" s="10" t="s">
        <v>172</v>
      </c>
      <c r="J18" s="14"/>
    </row>
    <row r="19" spans="2:10" hidden="1" x14ac:dyDescent="0.25">
      <c r="B19" s="10" t="s">
        <v>157</v>
      </c>
      <c r="I19" s="14"/>
      <c r="J19" s="14"/>
    </row>
    <row r="20" spans="2:10" hidden="1" x14ac:dyDescent="0.25">
      <c r="B20" s="10" t="s">
        <v>173</v>
      </c>
      <c r="I20" s="14"/>
      <c r="J20" s="14"/>
    </row>
    <row r="21" spans="2:10" hidden="1" x14ac:dyDescent="0.25">
      <c r="B21" s="10" t="s">
        <v>158</v>
      </c>
      <c r="J21" s="14"/>
    </row>
    <row r="22" spans="2:10" hidden="1" x14ac:dyDescent="0.25">
      <c r="B22" s="10" t="s">
        <v>159</v>
      </c>
      <c r="I22" s="14"/>
      <c r="J22" s="14"/>
    </row>
    <row r="23" spans="2:10" hidden="1" x14ac:dyDescent="0.25">
      <c r="B23" s="10" t="s">
        <v>160</v>
      </c>
      <c r="I23" s="14"/>
      <c r="J23" s="14"/>
    </row>
    <row r="24" spans="2:10" hidden="1" x14ac:dyDescent="0.25">
      <c r="B24" s="10" t="s">
        <v>161</v>
      </c>
      <c r="J24" s="14"/>
    </row>
    <row r="25" spans="2:10" hidden="1" x14ac:dyDescent="0.25">
      <c r="B25" s="10" t="s">
        <v>162</v>
      </c>
      <c r="I25" s="14"/>
      <c r="J25" s="14"/>
    </row>
    <row r="26" spans="2:10" hidden="1" x14ac:dyDescent="0.25">
      <c r="B26" s="10" t="s">
        <v>163</v>
      </c>
      <c r="I26" s="14"/>
      <c r="J26" s="14"/>
    </row>
    <row r="27" spans="2:10" hidden="1" x14ac:dyDescent="0.25">
      <c r="B27" s="10" t="s">
        <v>164</v>
      </c>
      <c r="J27" s="14"/>
    </row>
    <row r="28" spans="2:10" hidden="1" x14ac:dyDescent="0.25">
      <c r="B28" s="10" t="s">
        <v>165</v>
      </c>
      <c r="I28" s="14"/>
      <c r="J28" s="14"/>
    </row>
    <row r="29" spans="2:10" hidden="1" x14ac:dyDescent="0.25">
      <c r="B29" s="10" t="s">
        <v>166</v>
      </c>
      <c r="I29" s="14"/>
      <c r="J29" s="14"/>
    </row>
    <row r="30" spans="2:10" hidden="1" x14ac:dyDescent="0.25">
      <c r="B30" s="10" t="s">
        <v>167</v>
      </c>
      <c r="J30" s="14"/>
    </row>
    <row r="31" spans="2:10" hidden="1" x14ac:dyDescent="0.25">
      <c r="B31" s="10" t="s">
        <v>168</v>
      </c>
      <c r="I31" s="14"/>
      <c r="J31" s="14"/>
    </row>
    <row r="32" spans="2:10" hidden="1" x14ac:dyDescent="0.25">
      <c r="B32" s="10" t="s">
        <v>169</v>
      </c>
      <c r="I32" s="14"/>
      <c r="J32" s="14"/>
    </row>
    <row r="33" spans="2:10" hidden="1" x14ac:dyDescent="0.25">
      <c r="B33" s="10" t="s">
        <v>170</v>
      </c>
      <c r="J33" s="14"/>
    </row>
    <row r="34" spans="2:10" hidden="1" x14ac:dyDescent="0.25">
      <c r="B34" s="10" t="s">
        <v>171</v>
      </c>
      <c r="I34" s="14"/>
      <c r="J34" s="14"/>
    </row>
    <row r="35" spans="2:10" hidden="1" x14ac:dyDescent="0.25">
      <c r="I35" s="14"/>
      <c r="J35" s="14"/>
    </row>
    <row r="36" spans="2:10" hidden="1" x14ac:dyDescent="0.25">
      <c r="J36" s="14"/>
    </row>
    <row r="37" spans="2:10" hidden="1" x14ac:dyDescent="0.25">
      <c r="I37" s="14"/>
      <c r="J37" s="14"/>
    </row>
    <row r="38" spans="2:10" hidden="1" x14ac:dyDescent="0.25">
      <c r="I38" s="14"/>
      <c r="J38" s="14"/>
    </row>
    <row r="39" spans="2:10" hidden="1" x14ac:dyDescent="0.25">
      <c r="J39" s="14"/>
    </row>
    <row r="40" spans="2:10" x14ac:dyDescent="0.25">
      <c r="I40" s="14"/>
      <c r="J40" s="14"/>
    </row>
    <row r="41" spans="2:10" x14ac:dyDescent="0.25">
      <c r="I41" s="14"/>
      <c r="J41" s="14"/>
    </row>
    <row r="43" spans="2:10" x14ac:dyDescent="0.25">
      <c r="I43" s="14"/>
    </row>
    <row r="44" spans="2:10" x14ac:dyDescent="0.25">
      <c r="I44" s="14"/>
    </row>
    <row r="46" spans="2:10" x14ac:dyDescent="0.25">
      <c r="I46" s="14"/>
    </row>
    <row r="47" spans="2:10" x14ac:dyDescent="0.25">
      <c r="I47" s="14"/>
    </row>
    <row r="49" spans="9:9" x14ac:dyDescent="0.25">
      <c r="I49" s="14"/>
    </row>
    <row r="50" spans="9:9" x14ac:dyDescent="0.25">
      <c r="I50" s="14"/>
    </row>
    <row r="52" spans="9:9" x14ac:dyDescent="0.25">
      <c r="I52" s="14"/>
    </row>
    <row r="53" spans="9:9" x14ac:dyDescent="0.25">
      <c r="I53" s="14"/>
    </row>
    <row r="55" spans="9:9" x14ac:dyDescent="0.25">
      <c r="I55" s="14"/>
    </row>
    <row r="56" spans="9:9" x14ac:dyDescent="0.25">
      <c r="I56" s="14"/>
    </row>
    <row r="58" spans="9:9" x14ac:dyDescent="0.25">
      <c r="I58" s="14"/>
    </row>
    <row r="59" spans="9:9" x14ac:dyDescent="0.25">
      <c r="I59" s="14"/>
    </row>
    <row r="61" spans="9:9" x14ac:dyDescent="0.25">
      <c r="I61" s="14"/>
    </row>
    <row r="62" spans="9:9" x14ac:dyDescent="0.25">
      <c r="I62" s="14"/>
    </row>
    <row r="64" spans="9:9" x14ac:dyDescent="0.25">
      <c r="I64" s="14"/>
    </row>
    <row r="65" spans="9:9" x14ac:dyDescent="0.25">
      <c r="I65" s="14"/>
    </row>
    <row r="67" spans="9:9" x14ac:dyDescent="0.25">
      <c r="I67" s="14"/>
    </row>
    <row r="68" spans="9:9" x14ac:dyDescent="0.25">
      <c r="I68" s="14"/>
    </row>
    <row r="70" spans="9:9" x14ac:dyDescent="0.25">
      <c r="I70" s="14"/>
    </row>
    <row r="71" spans="9:9" x14ac:dyDescent="0.25">
      <c r="I71" s="14"/>
    </row>
    <row r="73" spans="9:9" x14ac:dyDescent="0.25">
      <c r="I73" s="14"/>
    </row>
    <row r="74" spans="9:9" x14ac:dyDescent="0.25">
      <c r="I74" s="14"/>
    </row>
    <row r="76" spans="9:9" x14ac:dyDescent="0.25">
      <c r="I76" s="14"/>
    </row>
    <row r="77" spans="9:9" x14ac:dyDescent="0.25">
      <c r="I77" s="14"/>
    </row>
    <row r="79" spans="9:9" x14ac:dyDescent="0.25">
      <c r="I79" s="14"/>
    </row>
    <row r="80" spans="9:9" x14ac:dyDescent="0.25">
      <c r="I80" s="14"/>
    </row>
    <row r="82" spans="9:9" x14ac:dyDescent="0.25">
      <c r="I82" s="14"/>
    </row>
    <row r="83" spans="9:9" x14ac:dyDescent="0.25">
      <c r="I83" s="14"/>
    </row>
    <row r="85" spans="9:9" x14ac:dyDescent="0.25">
      <c r="I85" s="14"/>
    </row>
    <row r="86" spans="9:9" x14ac:dyDescent="0.25">
      <c r="I86" s="14"/>
    </row>
    <row r="88" spans="9:9" x14ac:dyDescent="0.25">
      <c r="I88" s="14"/>
    </row>
    <row r="89" spans="9:9" x14ac:dyDescent="0.25">
      <c r="I89" s="14"/>
    </row>
    <row r="91" spans="9:9" x14ac:dyDescent="0.25">
      <c r="I91" s="14"/>
    </row>
    <row r="92" spans="9:9" x14ac:dyDescent="0.25">
      <c r="I92" s="14"/>
    </row>
    <row r="94" spans="9:9" x14ac:dyDescent="0.25">
      <c r="I94" s="14"/>
    </row>
    <row r="95" spans="9:9" x14ac:dyDescent="0.25">
      <c r="I95" s="14"/>
    </row>
    <row r="97" spans="9:9" x14ac:dyDescent="0.25">
      <c r="I97" s="14"/>
    </row>
    <row r="98" spans="9:9" x14ac:dyDescent="0.25">
      <c r="I98" s="14"/>
    </row>
    <row r="100" spans="9:9" x14ac:dyDescent="0.25">
      <c r="I100" s="14"/>
    </row>
    <row r="101" spans="9:9" x14ac:dyDescent="0.25">
      <c r="I101" s="14"/>
    </row>
    <row r="103" spans="9:9" x14ac:dyDescent="0.25">
      <c r="I103" s="14"/>
    </row>
    <row r="104" spans="9:9" x14ac:dyDescent="0.25">
      <c r="I104" s="14"/>
    </row>
    <row r="106" spans="9:9" x14ac:dyDescent="0.25">
      <c r="I106" s="14"/>
    </row>
    <row r="107" spans="9:9" x14ac:dyDescent="0.25">
      <c r="I107" s="14"/>
    </row>
    <row r="109" spans="9:9" x14ac:dyDescent="0.25">
      <c r="I109" s="14"/>
    </row>
    <row r="110" spans="9:9" x14ac:dyDescent="0.25">
      <c r="I110" s="14"/>
    </row>
    <row r="112" spans="9:9" x14ac:dyDescent="0.25">
      <c r="I112" s="14"/>
    </row>
    <row r="113" spans="9:9" x14ac:dyDescent="0.25">
      <c r="I113" s="14"/>
    </row>
    <row r="115" spans="9:9" x14ac:dyDescent="0.25">
      <c r="I115" s="14"/>
    </row>
    <row r="116" spans="9:9" x14ac:dyDescent="0.25">
      <c r="I116" s="14"/>
    </row>
    <row r="118" spans="9:9" x14ac:dyDescent="0.25">
      <c r="I118" s="14"/>
    </row>
    <row r="119" spans="9:9" x14ac:dyDescent="0.25">
      <c r="I119" s="14"/>
    </row>
    <row r="121" spans="9:9" x14ac:dyDescent="0.25">
      <c r="I121" s="14"/>
    </row>
    <row r="122" spans="9:9" x14ac:dyDescent="0.25">
      <c r="I122" s="14"/>
    </row>
    <row r="124" spans="9:9" x14ac:dyDescent="0.25">
      <c r="I124" s="14"/>
    </row>
    <row r="125" spans="9:9" x14ac:dyDescent="0.25">
      <c r="I125" s="14"/>
    </row>
    <row r="127" spans="9:9" x14ac:dyDescent="0.25">
      <c r="I127" s="14"/>
    </row>
    <row r="128" spans="9:9" x14ac:dyDescent="0.25">
      <c r="I128" s="14"/>
    </row>
    <row r="130" spans="9:9" x14ac:dyDescent="0.25">
      <c r="I130" s="14"/>
    </row>
    <row r="131" spans="9:9" x14ac:dyDescent="0.25">
      <c r="I131" s="14"/>
    </row>
    <row r="133" spans="9:9" x14ac:dyDescent="0.25">
      <c r="I133" s="14"/>
    </row>
    <row r="134" spans="9:9" x14ac:dyDescent="0.25">
      <c r="I134" s="14"/>
    </row>
    <row r="136" spans="9:9" x14ac:dyDescent="0.25">
      <c r="I136" s="14"/>
    </row>
    <row r="137" spans="9:9" x14ac:dyDescent="0.25">
      <c r="I137" s="14"/>
    </row>
    <row r="139" spans="9:9" x14ac:dyDescent="0.25">
      <c r="I139" s="14"/>
    </row>
    <row r="140" spans="9:9" x14ac:dyDescent="0.25">
      <c r="I140" s="14"/>
    </row>
    <row r="142" spans="9:9" x14ac:dyDescent="0.25">
      <c r="I142" s="14"/>
    </row>
    <row r="143" spans="9:9" x14ac:dyDescent="0.25">
      <c r="I143" s="14"/>
    </row>
    <row r="145" spans="9:9" x14ac:dyDescent="0.25">
      <c r="I145" s="14"/>
    </row>
    <row r="146" spans="9:9" x14ac:dyDescent="0.25">
      <c r="I146" s="14"/>
    </row>
    <row r="148" spans="9:9" x14ac:dyDescent="0.25">
      <c r="I148" s="14"/>
    </row>
    <row r="149" spans="9:9" x14ac:dyDescent="0.25">
      <c r="I149" s="14"/>
    </row>
    <row r="151" spans="9:9" x14ac:dyDescent="0.25">
      <c r="I151" s="14"/>
    </row>
    <row r="152" spans="9:9" x14ac:dyDescent="0.25">
      <c r="I152" s="14"/>
    </row>
    <row r="154" spans="9:9" x14ac:dyDescent="0.25">
      <c r="I154" s="14"/>
    </row>
    <row r="155" spans="9:9" x14ac:dyDescent="0.25">
      <c r="I155" s="14"/>
    </row>
    <row r="157" spans="9:9" x14ac:dyDescent="0.25">
      <c r="I157" s="14"/>
    </row>
    <row r="158" spans="9:9" x14ac:dyDescent="0.25">
      <c r="I158" s="14"/>
    </row>
    <row r="160" spans="9:9" x14ac:dyDescent="0.25">
      <c r="I160" s="14"/>
    </row>
    <row r="161" spans="9:9" x14ac:dyDescent="0.25">
      <c r="I161" s="14"/>
    </row>
    <row r="163" spans="9:9" x14ac:dyDescent="0.25">
      <c r="I163" s="14"/>
    </row>
    <row r="164" spans="9:9" x14ac:dyDescent="0.25">
      <c r="I164" s="14"/>
    </row>
    <row r="166" spans="9:9" x14ac:dyDescent="0.25">
      <c r="I166" s="14"/>
    </row>
    <row r="167" spans="9:9" x14ac:dyDescent="0.25">
      <c r="I167" s="14"/>
    </row>
    <row r="169" spans="9:9" x14ac:dyDescent="0.25">
      <c r="I169" s="14"/>
    </row>
    <row r="170" spans="9:9" x14ac:dyDescent="0.25">
      <c r="I170" s="14"/>
    </row>
    <row r="172" spans="9:9" x14ac:dyDescent="0.25">
      <c r="I172" s="14"/>
    </row>
    <row r="173" spans="9:9" x14ac:dyDescent="0.25">
      <c r="I173" s="14"/>
    </row>
    <row r="175" spans="9:9" x14ac:dyDescent="0.25">
      <c r="I175" s="14"/>
    </row>
    <row r="176" spans="9:9" x14ac:dyDescent="0.25">
      <c r="I176" s="14"/>
    </row>
    <row r="178" spans="9:9" x14ac:dyDescent="0.25">
      <c r="I178" s="14"/>
    </row>
    <row r="179" spans="9:9" x14ac:dyDescent="0.25">
      <c r="I179" s="14"/>
    </row>
    <row r="181" spans="9:9" x14ac:dyDescent="0.25">
      <c r="I181" s="14"/>
    </row>
    <row r="182" spans="9:9" x14ac:dyDescent="0.25">
      <c r="I182" s="14"/>
    </row>
    <row r="184" spans="9:9" x14ac:dyDescent="0.25">
      <c r="I184" s="14"/>
    </row>
    <row r="185" spans="9:9" x14ac:dyDescent="0.25">
      <c r="I185" s="14"/>
    </row>
    <row r="187" spans="9:9" x14ac:dyDescent="0.25">
      <c r="I187" s="14"/>
    </row>
    <row r="188" spans="9:9" x14ac:dyDescent="0.25">
      <c r="I188" s="14"/>
    </row>
    <row r="190" spans="9:9" x14ac:dyDescent="0.25">
      <c r="I190" s="14"/>
    </row>
    <row r="191" spans="9:9" x14ac:dyDescent="0.25">
      <c r="I191" s="14"/>
    </row>
    <row r="193" spans="9:9" x14ac:dyDescent="0.25">
      <c r="I193" s="14"/>
    </row>
    <row r="194" spans="9:9" x14ac:dyDescent="0.25">
      <c r="I194" s="14"/>
    </row>
    <row r="196" spans="9:9" x14ac:dyDescent="0.25">
      <c r="I196" s="14"/>
    </row>
    <row r="197" spans="9:9" x14ac:dyDescent="0.25">
      <c r="I197" s="14"/>
    </row>
    <row r="199" spans="9:9" x14ac:dyDescent="0.25">
      <c r="I199" s="14"/>
    </row>
    <row r="200" spans="9:9" x14ac:dyDescent="0.25">
      <c r="I200" s="14"/>
    </row>
    <row r="202" spans="9:9" x14ac:dyDescent="0.25">
      <c r="I202" s="14"/>
    </row>
    <row r="203" spans="9:9" x14ac:dyDescent="0.25">
      <c r="I203" s="14"/>
    </row>
    <row r="205" spans="9:9" x14ac:dyDescent="0.25">
      <c r="I205" s="14"/>
    </row>
    <row r="206" spans="9:9" x14ac:dyDescent="0.25">
      <c r="I206" s="14"/>
    </row>
    <row r="208" spans="9:9" x14ac:dyDescent="0.25">
      <c r="I208" s="14"/>
    </row>
    <row r="209" spans="9:9" x14ac:dyDescent="0.25">
      <c r="I209" s="14"/>
    </row>
    <row r="211" spans="9:9" x14ac:dyDescent="0.25">
      <c r="I211" s="14"/>
    </row>
    <row r="212" spans="9:9" x14ac:dyDescent="0.25">
      <c r="I212" s="14"/>
    </row>
    <row r="214" spans="9:9" x14ac:dyDescent="0.25">
      <c r="I214" s="14"/>
    </row>
    <row r="215" spans="9:9" x14ac:dyDescent="0.25">
      <c r="I215" s="14"/>
    </row>
    <row r="217" spans="9:9" x14ac:dyDescent="0.25">
      <c r="I217" s="14"/>
    </row>
    <row r="218" spans="9:9" x14ac:dyDescent="0.25">
      <c r="I218" s="14"/>
    </row>
    <row r="220" spans="9:9" x14ac:dyDescent="0.25">
      <c r="I220" s="14"/>
    </row>
    <row r="221" spans="9:9" x14ac:dyDescent="0.25">
      <c r="I221" s="14"/>
    </row>
    <row r="223" spans="9:9" x14ac:dyDescent="0.25">
      <c r="I223" s="14"/>
    </row>
    <row r="224" spans="9:9" x14ac:dyDescent="0.25">
      <c r="I224" s="14"/>
    </row>
    <row r="226" spans="9:9" x14ac:dyDescent="0.25">
      <c r="I226" s="14"/>
    </row>
    <row r="227" spans="9:9" x14ac:dyDescent="0.25">
      <c r="I227" s="14"/>
    </row>
    <row r="229" spans="9:9" x14ac:dyDescent="0.25">
      <c r="I229" s="14"/>
    </row>
    <row r="230" spans="9:9" x14ac:dyDescent="0.25">
      <c r="I230" s="14"/>
    </row>
    <row r="232" spans="9:9" x14ac:dyDescent="0.25">
      <c r="I232" s="14"/>
    </row>
    <row r="233" spans="9:9" x14ac:dyDescent="0.25">
      <c r="I233" s="14"/>
    </row>
    <row r="235" spans="9:9" x14ac:dyDescent="0.25">
      <c r="I235" s="14"/>
    </row>
    <row r="236" spans="9:9" x14ac:dyDescent="0.25">
      <c r="I236" s="14"/>
    </row>
    <row r="238" spans="9:9" x14ac:dyDescent="0.25">
      <c r="I238" s="14"/>
    </row>
    <row r="239" spans="9:9" x14ac:dyDescent="0.25">
      <c r="I239" s="14"/>
    </row>
    <row r="241" spans="9:9" x14ac:dyDescent="0.25">
      <c r="I241" s="14"/>
    </row>
    <row r="242" spans="9:9" x14ac:dyDescent="0.25">
      <c r="I242" s="14"/>
    </row>
    <row r="244" spans="9:9" x14ac:dyDescent="0.25">
      <c r="I244" s="14"/>
    </row>
    <row r="245" spans="9:9" x14ac:dyDescent="0.25">
      <c r="I245" s="14"/>
    </row>
    <row r="247" spans="9:9" x14ac:dyDescent="0.25">
      <c r="I247" s="14"/>
    </row>
    <row r="248" spans="9:9" x14ac:dyDescent="0.25">
      <c r="I248" s="14"/>
    </row>
    <row r="250" spans="9:9" x14ac:dyDescent="0.25">
      <c r="I250" s="14"/>
    </row>
    <row r="251" spans="9:9" x14ac:dyDescent="0.25">
      <c r="I251" s="14"/>
    </row>
    <row r="253" spans="9:9" x14ac:dyDescent="0.25">
      <c r="I253" s="14"/>
    </row>
    <row r="254" spans="9:9" x14ac:dyDescent="0.25">
      <c r="I254" s="14"/>
    </row>
    <row r="256" spans="9:9" x14ac:dyDescent="0.25">
      <c r="I256" s="14"/>
    </row>
    <row r="257" spans="9:9" x14ac:dyDescent="0.25">
      <c r="I257" s="14"/>
    </row>
    <row r="259" spans="9:9" x14ac:dyDescent="0.25">
      <c r="I259" s="14"/>
    </row>
    <row r="260" spans="9:9" x14ac:dyDescent="0.25">
      <c r="I260" s="14"/>
    </row>
    <row r="262" spans="9:9" x14ac:dyDescent="0.25">
      <c r="I262" s="14"/>
    </row>
    <row r="263" spans="9:9" x14ac:dyDescent="0.25">
      <c r="I263" s="14"/>
    </row>
    <row r="265" spans="9:9" x14ac:dyDescent="0.25">
      <c r="I265" s="14"/>
    </row>
    <row r="266" spans="9:9" x14ac:dyDescent="0.25">
      <c r="I266" s="14"/>
    </row>
    <row r="268" spans="9:9" x14ac:dyDescent="0.25">
      <c r="I268" s="14"/>
    </row>
    <row r="269" spans="9:9" x14ac:dyDescent="0.25">
      <c r="I269" s="14"/>
    </row>
    <row r="271" spans="9:9" x14ac:dyDescent="0.25">
      <c r="I271" s="14"/>
    </row>
    <row r="272" spans="9:9" x14ac:dyDescent="0.25">
      <c r="I272" s="14"/>
    </row>
    <row r="274" spans="9:9" x14ac:dyDescent="0.25">
      <c r="I274" s="14"/>
    </row>
    <row r="275" spans="9:9" x14ac:dyDescent="0.25">
      <c r="I275" s="14"/>
    </row>
    <row r="277" spans="9:9" x14ac:dyDescent="0.25">
      <c r="I277" s="14"/>
    </row>
    <row r="278" spans="9:9" x14ac:dyDescent="0.25">
      <c r="I278" s="14"/>
    </row>
    <row r="280" spans="9:9" x14ac:dyDescent="0.25">
      <c r="I280" s="14"/>
    </row>
    <row r="281" spans="9:9" x14ac:dyDescent="0.25">
      <c r="I281" s="14"/>
    </row>
  </sheetData>
  <sheetProtection password="F903" sheet="1" selectLockedCells="1"/>
  <mergeCells count="2">
    <mergeCell ref="A1:D1"/>
    <mergeCell ref="A2:D2"/>
  </mergeCells>
  <phoneticPr fontId="76" type="noConversion"/>
  <dataValidations xWindow="1005" yWindow="323" count="6">
    <dataValidation allowBlank="1" showInputMessage="1" showErrorMessage="1" prompt="Please state Month/Year ending the reporting period (e.g. 12/2014 for quarter ending December 2014)" sqref="C9" xr:uid="{00000000-0002-0000-0200-000000000000}"/>
    <dataValidation type="list" allowBlank="1" showInputMessage="1" showErrorMessage="1" prompt="Please state the month in which you are reporting on (Eg. January, February... etc)" sqref="C8" xr:uid="{00000000-0002-0000-0200-000001000000}">
      <formula1>$J$1:$J$12</formula1>
    </dataValidation>
    <dataValidation allowBlank="1" showInputMessage="1" showErrorMessage="1" prompt="Please input the MCAG membership ID given to you by MCAG here." sqref="C5" xr:uid="{00000000-0002-0000-0200-000002000000}"/>
    <dataValidation allowBlank="1" showInputMessage="1" showErrorMessage="1" prompt="Please input your registered business name as appears on your BoG License" sqref="C4" xr:uid="{00000000-0002-0000-0200-000003000000}"/>
    <dataValidation type="list" allowBlank="1" showInputMessage="1" showErrorMessage="1" prompt="Please select on of the years in the list" sqref="C7" xr:uid="{00000000-0002-0000-0200-000004000000}">
      <formula1>$K$1:$K$3</formula1>
    </dataValidation>
    <dataValidation type="list" allowBlank="1" showInputMessage="1" showErrorMessage="1" prompt="Please select the Region you operate in" sqref="C10" xr:uid="{00000000-0002-0000-0200-000005000000}">
      <formula1>$B$19:$B$34</formula1>
    </dataValidation>
  </dataValidations>
  <pageMargins left="0.7" right="0.7" top="0.75" bottom="0.75" header="0.3" footer="0.3"/>
  <pageSetup orientation="portrait" r:id="rId1"/>
  <ignoredErrors>
    <ignoredError sqref="D7"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F164"/>
  <sheetViews>
    <sheetView topLeftCell="A23" zoomScale="80" zoomScaleNormal="100" workbookViewId="0">
      <selection activeCell="D42" sqref="D42"/>
    </sheetView>
  </sheetViews>
  <sheetFormatPr defaultColWidth="9.28515625" defaultRowHeight="15.75" x14ac:dyDescent="0.25"/>
  <cols>
    <col min="1" max="1" width="6.7109375" style="9" customWidth="1"/>
    <col min="2" max="2" width="52.5703125" style="10" customWidth="1"/>
    <col min="3" max="3" width="78.7109375" style="8" customWidth="1"/>
    <col min="4" max="4" width="29.28515625" style="11" customWidth="1"/>
    <col min="5" max="5" width="15.28515625" style="13" customWidth="1"/>
    <col min="6" max="16384" width="9.28515625" style="13"/>
  </cols>
  <sheetData>
    <row r="1" spans="1:6" s="14" customFormat="1" ht="18.75" x14ac:dyDescent="0.25">
      <c r="A1" s="425" t="str">
        <f>'Cover Sheet'!A1:D1</f>
        <v xml:space="preserve">GHANA CO-OPERATIVE SUSU COLLECTORS ASSOCIATION </v>
      </c>
      <c r="B1" s="425"/>
      <c r="C1" s="425"/>
      <c r="D1" s="425"/>
      <c r="E1" s="46">
        <f>SUM(D4:D10) + IF(D20="",1,0) + IF(D20&lt;0,1,0)</f>
        <v>0</v>
      </c>
      <c r="F1" s="47" t="str">
        <f>IF(SUM(D4:D10)&gt;0,"Error!",IF(D20="","Error!",IF(D20&lt;0,"Error!","")))</f>
        <v/>
      </c>
    </row>
    <row r="2" spans="1:6" s="14" customFormat="1" ht="18.75" x14ac:dyDescent="0.25">
      <c r="A2" s="425" t="s">
        <v>8</v>
      </c>
      <c r="B2" s="425"/>
      <c r="C2" s="425"/>
      <c r="D2" s="425"/>
    </row>
    <row r="3" spans="1:6" x14ac:dyDescent="0.25">
      <c r="A3" s="15"/>
    </row>
    <row r="4" spans="1:6" s="16" customFormat="1" x14ac:dyDescent="0.25">
      <c r="B4" s="17" t="s">
        <v>9</v>
      </c>
      <c r="C4" s="23" t="str">
        <f>IF('Cover Sheet'!C4="", "", 'Cover Sheet'!C4)</f>
        <v>QUICK RETURNS SUSU ENTERPRISE</v>
      </c>
      <c r="D4" s="18">
        <f>IF(C4="",1,IF(ISTEXT(C4),0,1))+IF(OR(ISNUMBER(LEFT(C4)),LEFT(C4)=" "),1,0)</f>
        <v>0</v>
      </c>
    </row>
    <row r="5" spans="1:6" s="16" customFormat="1" x14ac:dyDescent="0.25">
      <c r="B5" s="17" t="s">
        <v>10</v>
      </c>
      <c r="C5" s="50" t="str">
        <f>IF('Cover Sheet'!C5="", "", 'Cover Sheet'!C5)</f>
        <v xml:space="preserve">
GCSCA-GT-0-0000288</v>
      </c>
      <c r="D5" s="18">
        <f>IF(C5="",1,IF(ISTEXT(C5),0,1))+IF(OR(ISNUMBER(LEFT(C5)),LEFT(C5)=" "),1,0)</f>
        <v>0</v>
      </c>
    </row>
    <row r="6" spans="1:6" s="19" customFormat="1" x14ac:dyDescent="0.25">
      <c r="B6" s="17" t="s">
        <v>11</v>
      </c>
      <c r="C6" s="134" t="str">
        <f>IF('Cover Sheet'!C6="", "", 'Cover Sheet'!C6)</f>
        <v xml:space="preserve">GCSCA-PR-UA </v>
      </c>
      <c r="D6" s="18">
        <f>IF(C6="",1,IF(ISTEXT(C6),0,1))</f>
        <v>0</v>
      </c>
    </row>
    <row r="7" spans="1:6" s="16" customFormat="1" x14ac:dyDescent="0.25">
      <c r="B7" s="17" t="s">
        <v>12</v>
      </c>
      <c r="C7" s="50" t="str">
        <f>'Cover Sheet'!C8</f>
        <v>JUNE</v>
      </c>
      <c r="D7" s="18">
        <f>IF(C7="",1,IF(ISTEXT(C7),0,1))</f>
        <v>0</v>
      </c>
    </row>
    <row r="8" spans="1:6" s="19" customFormat="1" x14ac:dyDescent="0.25">
      <c r="B8" s="17" t="s">
        <v>13</v>
      </c>
      <c r="C8" s="133" t="str">
        <f>'Cover Sheet'!C9</f>
        <v>July 2026</v>
      </c>
      <c r="D8" s="18">
        <f>IF(C8="",1, 0)</f>
        <v>0</v>
      </c>
    </row>
    <row r="9" spans="1:6" s="21" customFormat="1" x14ac:dyDescent="0.25">
      <c r="A9" s="20"/>
      <c r="B9" s="17" t="s">
        <v>14</v>
      </c>
      <c r="C9" s="135" t="str">
        <f>IF('Cover Sheet'!C7="", "", 'Cover Sheet'!C7)</f>
        <v>2026</v>
      </c>
      <c r="D9" s="18">
        <f>IF(C9="",1, 0)</f>
        <v>0</v>
      </c>
    </row>
    <row r="10" spans="1:6" s="21" customFormat="1" x14ac:dyDescent="0.25">
      <c r="A10" s="20"/>
      <c r="B10" s="17" t="s">
        <v>156</v>
      </c>
      <c r="C10" s="135" t="str">
        <f>IF('Cover Sheet'!C10="", "", 'Cover Sheet'!C10)</f>
        <v>Greater Accra-GA</v>
      </c>
      <c r="D10" s="22">
        <f>IF(C10="",1, 0)</f>
        <v>0</v>
      </c>
    </row>
    <row r="11" spans="1:6" s="19" customFormat="1" ht="15.75" customHeight="1" x14ac:dyDescent="0.25">
      <c r="A11" s="365" t="s">
        <v>15</v>
      </c>
      <c r="B11" s="365" t="s">
        <v>16</v>
      </c>
      <c r="C11" s="366"/>
      <c r="D11" s="365" t="s">
        <v>17</v>
      </c>
    </row>
    <row r="12" spans="1:6" s="16" customFormat="1" x14ac:dyDescent="0.25">
      <c r="A12" s="43"/>
      <c r="B12" s="41" t="s">
        <v>18</v>
      </c>
      <c r="C12" s="42" t="s">
        <v>19</v>
      </c>
      <c r="D12" s="44" t="s">
        <v>20</v>
      </c>
    </row>
    <row r="13" spans="1:6" s="16" customFormat="1" ht="27.75" customHeight="1" x14ac:dyDescent="0.25">
      <c r="A13" s="25" t="s">
        <v>21</v>
      </c>
      <c r="B13" s="26" t="s">
        <v>318</v>
      </c>
      <c r="C13" s="393" t="s">
        <v>349</v>
      </c>
      <c r="D13" s="148">
        <f>D36</f>
        <v>1910</v>
      </c>
    </row>
    <row r="14" spans="1:6" s="16" customFormat="1" ht="30" x14ac:dyDescent="0.25">
      <c r="A14" s="25" t="s">
        <v>22</v>
      </c>
      <c r="B14" s="29" t="s">
        <v>24</v>
      </c>
      <c r="C14" s="393" t="s">
        <v>350</v>
      </c>
      <c r="D14" s="148">
        <f>D44</f>
        <v>502.99</v>
      </c>
    </row>
    <row r="15" spans="1:6" s="16" customFormat="1" ht="45" x14ac:dyDescent="0.25">
      <c r="A15" s="25" t="s">
        <v>23</v>
      </c>
      <c r="B15" s="26" t="s">
        <v>315</v>
      </c>
      <c r="C15" s="393" t="s">
        <v>351</v>
      </c>
      <c r="D15" s="148">
        <f>D51</f>
        <v>0</v>
      </c>
    </row>
    <row r="16" spans="1:6" s="16" customFormat="1" x14ac:dyDescent="0.25">
      <c r="A16" s="25" t="s">
        <v>25</v>
      </c>
      <c r="B16" s="30" t="s">
        <v>26</v>
      </c>
      <c r="C16" s="31" t="s">
        <v>247</v>
      </c>
      <c r="D16" s="45">
        <f>SUM(D13:D15)</f>
        <v>2412.9899999999998</v>
      </c>
    </row>
    <row r="17" spans="1:5" s="16" customFormat="1" ht="27.75" customHeight="1" x14ac:dyDescent="0.25">
      <c r="A17" s="25">
        <v>1.5</v>
      </c>
      <c r="B17" s="58" t="s">
        <v>393</v>
      </c>
      <c r="C17" s="31"/>
      <c r="D17" s="45">
        <f>D58</f>
        <v>0</v>
      </c>
    </row>
    <row r="18" spans="1:5" x14ac:dyDescent="0.25">
      <c r="A18" s="89"/>
      <c r="B18" s="87" t="s">
        <v>27</v>
      </c>
      <c r="C18" s="88"/>
      <c r="D18" s="90"/>
    </row>
    <row r="19" spans="1:5" ht="48" customHeight="1" x14ac:dyDescent="0.25">
      <c r="A19" s="25">
        <v>1.6</v>
      </c>
      <c r="B19" s="35" t="s">
        <v>28</v>
      </c>
      <c r="C19" s="36" t="s">
        <v>29</v>
      </c>
      <c r="D19" s="148">
        <f>D95</f>
        <v>0</v>
      </c>
    </row>
    <row r="20" spans="1:5" ht="45" x14ac:dyDescent="0.25">
      <c r="A20" s="25">
        <v>1.7</v>
      </c>
      <c r="B20" s="35" t="s">
        <v>30</v>
      </c>
      <c r="C20" s="36" t="s">
        <v>31</v>
      </c>
      <c r="D20" s="28">
        <v>0</v>
      </c>
      <c r="E20" s="142" t="str">
        <f>IF(D20="","Error!",  IF(D20&lt;0, "Error!",""))</f>
        <v/>
      </c>
    </row>
    <row r="21" spans="1:5" ht="24" customHeight="1" x14ac:dyDescent="0.25">
      <c r="A21" s="25">
        <v>1.8</v>
      </c>
      <c r="B21" s="35" t="s">
        <v>32</v>
      </c>
      <c r="C21" s="36" t="s">
        <v>352</v>
      </c>
      <c r="D21" s="148">
        <f>D85</f>
        <v>2050</v>
      </c>
    </row>
    <row r="22" spans="1:5" x14ac:dyDescent="0.25">
      <c r="A22" s="25">
        <v>1.9</v>
      </c>
      <c r="B22" s="30" t="s">
        <v>33</v>
      </c>
      <c r="C22" s="419" t="s">
        <v>413</v>
      </c>
      <c r="D22" s="45">
        <f>SUM(D19:D21)</f>
        <v>2050</v>
      </c>
    </row>
    <row r="23" spans="1:5" x14ac:dyDescent="0.25">
      <c r="A23" s="418">
        <v>1.1000000000000001</v>
      </c>
      <c r="B23" s="30" t="s">
        <v>34</v>
      </c>
      <c r="C23" s="419" t="s">
        <v>414</v>
      </c>
      <c r="D23" s="45">
        <f>D16-D22-D17</f>
        <v>362.98999999999978</v>
      </c>
    </row>
    <row r="24" spans="1:5" ht="30" x14ac:dyDescent="0.25">
      <c r="A24" s="25">
        <v>1.1100000000000001</v>
      </c>
      <c r="B24" s="26" t="s">
        <v>35</v>
      </c>
      <c r="C24" s="33" t="s">
        <v>353</v>
      </c>
      <c r="D24" s="28"/>
    </row>
    <row r="25" spans="1:5" ht="45" x14ac:dyDescent="0.25">
      <c r="A25" s="25">
        <v>1.1200000000000001</v>
      </c>
      <c r="B25" s="26" t="s">
        <v>36</v>
      </c>
      <c r="C25" s="364" t="s">
        <v>354</v>
      </c>
      <c r="D25" s="34"/>
    </row>
    <row r="26" spans="1:5" x14ac:dyDescent="0.25">
      <c r="A26" s="25">
        <v>1.1299999999999999</v>
      </c>
      <c r="B26" s="30" t="s">
        <v>37</v>
      </c>
      <c r="C26" s="37" t="s">
        <v>415</v>
      </c>
      <c r="D26" s="45">
        <f>D23+(D24+D25)</f>
        <v>362.98999999999978</v>
      </c>
    </row>
    <row r="27" spans="1:5" x14ac:dyDescent="0.25">
      <c r="A27" s="25">
        <v>1.1399999999999999</v>
      </c>
      <c r="B27" s="30" t="s">
        <v>38</v>
      </c>
      <c r="C27" s="38" t="s">
        <v>39</v>
      </c>
      <c r="D27" s="28"/>
    </row>
    <row r="28" spans="1:5" x14ac:dyDescent="0.25">
      <c r="A28" s="25">
        <v>1.1499999999999999</v>
      </c>
      <c r="B28" s="30" t="s">
        <v>40</v>
      </c>
      <c r="C28" s="39" t="s">
        <v>416</v>
      </c>
      <c r="D28" s="45">
        <f>D26-D27</f>
        <v>362.98999999999978</v>
      </c>
    </row>
    <row r="29" spans="1:5" x14ac:dyDescent="0.25">
      <c r="A29" s="24"/>
      <c r="B29" s="149"/>
      <c r="C29" s="38"/>
      <c r="D29" s="32"/>
    </row>
    <row r="30" spans="1:5" thickBot="1" x14ac:dyDescent="0.3">
      <c r="A30" s="13"/>
      <c r="B30" s="13"/>
      <c r="C30" s="13"/>
      <c r="D30" s="13"/>
    </row>
    <row r="31" spans="1:5" s="68" customFormat="1" ht="29.25" thickBot="1" x14ac:dyDescent="0.3">
      <c r="A31" s="380"/>
      <c r="B31" s="381" t="s">
        <v>311</v>
      </c>
      <c r="C31" s="382" t="s">
        <v>238</v>
      </c>
      <c r="D31" s="383" t="s">
        <v>239</v>
      </c>
    </row>
    <row r="32" spans="1:5" s="68" customFormat="1" ht="20.100000000000001" customHeight="1" x14ac:dyDescent="0.25">
      <c r="A32" s="172">
        <v>1</v>
      </c>
      <c r="B32" s="197" t="s">
        <v>312</v>
      </c>
      <c r="C32" s="173">
        <f>IFERROR(D32/D16,0)</f>
        <v>0.79154907397046825</v>
      </c>
      <c r="D32" s="183">
        <v>1910</v>
      </c>
    </row>
    <row r="33" spans="1:4" s="68" customFormat="1" ht="20.100000000000001" customHeight="1" x14ac:dyDescent="0.25">
      <c r="A33" s="174">
        <v>2</v>
      </c>
      <c r="B33" s="198" t="s">
        <v>313</v>
      </c>
      <c r="C33" s="175">
        <f>IFERROR(D33/D16,0)</f>
        <v>0</v>
      </c>
      <c r="D33" s="184"/>
    </row>
    <row r="34" spans="1:4" s="68" customFormat="1" ht="20.100000000000001" customHeight="1" x14ac:dyDescent="0.25">
      <c r="A34" s="174">
        <v>3</v>
      </c>
      <c r="B34" s="198" t="s">
        <v>314</v>
      </c>
      <c r="C34" s="175">
        <f>IFERROR(D34/D16,0)</f>
        <v>0</v>
      </c>
      <c r="D34" s="184"/>
    </row>
    <row r="35" spans="1:4" s="68" customFormat="1" ht="20.100000000000001" customHeight="1" x14ac:dyDescent="0.25">
      <c r="A35" s="174">
        <v>4</v>
      </c>
      <c r="B35" s="198" t="s">
        <v>184</v>
      </c>
      <c r="C35" s="175">
        <f>IFERROR(D35/D16,0)</f>
        <v>0</v>
      </c>
      <c r="D35" s="184"/>
    </row>
    <row r="36" spans="1:4" s="68" customFormat="1" ht="20.100000000000001" customHeight="1" x14ac:dyDescent="0.25">
      <c r="A36" s="177"/>
      <c r="B36" s="209" t="s">
        <v>95</v>
      </c>
      <c r="C36" s="210">
        <f>IFERROR(D36/D16,0)</f>
        <v>0.79154907397046825</v>
      </c>
      <c r="D36" s="211">
        <f>SUM(D32:D35)</f>
        <v>1910</v>
      </c>
    </row>
    <row r="37" spans="1:4" s="68" customFormat="1" ht="15" x14ac:dyDescent="0.25">
      <c r="A37" s="188"/>
      <c r="B37" s="189"/>
      <c r="C37" s="190"/>
      <c r="D37" s="191"/>
    </row>
    <row r="38" spans="1:4" s="68" customFormat="1" thickBot="1" x14ac:dyDescent="0.3">
      <c r="A38" s="188"/>
      <c r="B38" s="189"/>
      <c r="C38" s="190"/>
      <c r="D38" s="191"/>
    </row>
    <row r="39" spans="1:4" s="68" customFormat="1" ht="30" thickBot="1" x14ac:dyDescent="0.3">
      <c r="A39" s="384"/>
      <c r="B39" s="385" t="s">
        <v>241</v>
      </c>
      <c r="C39" s="382" t="s">
        <v>238</v>
      </c>
      <c r="D39" s="383" t="s">
        <v>239</v>
      </c>
    </row>
    <row r="40" spans="1:4" s="68" customFormat="1" ht="31.5" x14ac:dyDescent="0.25">
      <c r="A40" s="192">
        <v>1</v>
      </c>
      <c r="B40" s="199" t="s">
        <v>273</v>
      </c>
      <c r="C40" s="194">
        <f>IFERROR(D40/D16,0)</f>
        <v>0</v>
      </c>
      <c r="D40" s="185"/>
    </row>
    <row r="41" spans="1:4" s="68" customFormat="1" ht="20.100000000000001" customHeight="1" x14ac:dyDescent="0.25">
      <c r="A41" s="192">
        <v>2</v>
      </c>
      <c r="B41" s="200" t="s">
        <v>272</v>
      </c>
      <c r="C41" s="195">
        <f>IFERROR(D41/D16,0)</f>
        <v>0</v>
      </c>
      <c r="D41" s="184"/>
    </row>
    <row r="42" spans="1:4" s="68" customFormat="1" ht="20.100000000000001" customHeight="1" x14ac:dyDescent="0.25">
      <c r="A42" s="192">
        <v>3</v>
      </c>
      <c r="B42" s="201" t="s">
        <v>271</v>
      </c>
      <c r="C42" s="195">
        <f>IFERROR(D42/D16,0)</f>
        <v>0.20845092602953186</v>
      </c>
      <c r="D42" s="184">
        <v>502.99</v>
      </c>
    </row>
    <row r="43" spans="1:4" s="68" customFormat="1" ht="20.100000000000001" customHeight="1" thickBot="1" x14ac:dyDescent="0.3">
      <c r="A43" s="192">
        <v>4</v>
      </c>
      <c r="B43" s="202" t="s">
        <v>83</v>
      </c>
      <c r="C43" s="196">
        <f>IFERROR(D43/D16,0)</f>
        <v>0</v>
      </c>
      <c r="D43" s="186"/>
    </row>
    <row r="44" spans="1:4" s="68" customFormat="1" ht="20.100000000000001" customHeight="1" thickBot="1" x14ac:dyDescent="0.3">
      <c r="A44" s="193"/>
      <c r="B44" s="212" t="s">
        <v>95</v>
      </c>
      <c r="C44" s="213">
        <f>IFERROR(D44/D16,0)</f>
        <v>0.20845092602953186</v>
      </c>
      <c r="D44" s="214">
        <f>SUM(D40:D43)</f>
        <v>502.99</v>
      </c>
    </row>
    <row r="45" spans="1:4" s="68" customFormat="1" ht="15" x14ac:dyDescent="0.25">
      <c r="A45" s="188"/>
      <c r="B45" s="189"/>
      <c r="C45" s="190"/>
      <c r="D45" s="191"/>
    </row>
    <row r="46" spans="1:4" s="68" customFormat="1" thickBot="1" x14ac:dyDescent="0.3">
      <c r="A46" s="188"/>
      <c r="B46" s="189"/>
      <c r="C46" s="190"/>
      <c r="D46" s="191"/>
    </row>
    <row r="47" spans="1:4" s="68" customFormat="1" ht="29.25" thickBot="1" x14ac:dyDescent="0.3">
      <c r="A47" s="384"/>
      <c r="B47" s="386" t="s">
        <v>243</v>
      </c>
      <c r="C47" s="382" t="s">
        <v>238</v>
      </c>
      <c r="D47" s="383" t="s">
        <v>239</v>
      </c>
    </row>
    <row r="48" spans="1:4" s="68" customFormat="1" ht="20.100000000000001" customHeight="1" x14ac:dyDescent="0.25">
      <c r="A48" s="222">
        <v>1</v>
      </c>
      <c r="B48" s="205" t="s">
        <v>274</v>
      </c>
      <c r="C48" s="208">
        <f>IFERROR(D48/D16,0)</f>
        <v>0</v>
      </c>
      <c r="D48" s="185"/>
    </row>
    <row r="49" spans="1:4" s="68" customFormat="1" ht="20.100000000000001" customHeight="1" x14ac:dyDescent="0.25">
      <c r="A49" s="174">
        <v>2</v>
      </c>
      <c r="B49" s="206" t="s">
        <v>275</v>
      </c>
      <c r="C49" s="175">
        <f>IFERROR(D49/D16,0)</f>
        <v>0</v>
      </c>
      <c r="D49" s="184"/>
    </row>
    <row r="50" spans="1:4" s="68" customFormat="1" ht="20.100000000000001" customHeight="1" x14ac:dyDescent="0.25">
      <c r="A50" s="174">
        <v>3</v>
      </c>
      <c r="B50" s="204" t="s">
        <v>83</v>
      </c>
      <c r="C50" s="175">
        <f>IFERROR(D50/D16,0)</f>
        <v>0</v>
      </c>
      <c r="D50" s="184"/>
    </row>
    <row r="51" spans="1:4" s="68" customFormat="1" ht="20.100000000000001" customHeight="1" thickBot="1" x14ac:dyDescent="0.3">
      <c r="A51" s="223"/>
      <c r="B51" s="217" t="s">
        <v>95</v>
      </c>
      <c r="C51" s="218">
        <f>IFERROR(D51/D16,0)</f>
        <v>0</v>
      </c>
      <c r="D51" s="216">
        <f>SUM(D48:D50)</f>
        <v>0</v>
      </c>
    </row>
    <row r="52" spans="1:4" s="68" customFormat="1" ht="15" x14ac:dyDescent="0.25">
      <c r="A52" s="180"/>
      <c r="B52" s="181"/>
      <c r="C52" s="187"/>
      <c r="D52" s="179"/>
    </row>
    <row r="53" spans="1:4" s="68" customFormat="1" thickBot="1" x14ac:dyDescent="0.3">
      <c r="A53" s="180"/>
      <c r="B53" s="181" t="s">
        <v>240</v>
      </c>
      <c r="C53" s="181"/>
      <c r="D53" s="182"/>
    </row>
    <row r="54" spans="1:4" s="68" customFormat="1" ht="29.25" thickBot="1" x14ac:dyDescent="0.3">
      <c r="A54" s="384"/>
      <c r="B54" s="386" t="s">
        <v>396</v>
      </c>
      <c r="C54" s="382" t="s">
        <v>238</v>
      </c>
      <c r="D54" s="383" t="s">
        <v>239</v>
      </c>
    </row>
    <row r="55" spans="1:4" s="68" customFormat="1" ht="20.100000000000001" customHeight="1" x14ac:dyDescent="0.25">
      <c r="A55" s="222">
        <v>1</v>
      </c>
      <c r="B55" s="205" t="s">
        <v>395</v>
      </c>
      <c r="C55" s="208">
        <f>IFERROR(D55/D23,0)</f>
        <v>0</v>
      </c>
      <c r="D55" s="402"/>
    </row>
    <row r="56" spans="1:4" s="68" customFormat="1" ht="20.100000000000001" customHeight="1" x14ac:dyDescent="0.25">
      <c r="A56" s="174">
        <v>2</v>
      </c>
      <c r="B56" s="206" t="s">
        <v>394</v>
      </c>
      <c r="C56" s="175">
        <f>IFERROR(D56/D23,0)</f>
        <v>0</v>
      </c>
      <c r="D56" s="403"/>
    </row>
    <row r="57" spans="1:4" s="68" customFormat="1" ht="20.100000000000001" customHeight="1" x14ac:dyDescent="0.25">
      <c r="A57" s="174">
        <v>3</v>
      </c>
      <c r="B57" s="204" t="s">
        <v>83</v>
      </c>
      <c r="C57" s="175">
        <f>IFERROR(D57/D23,0)</f>
        <v>0</v>
      </c>
      <c r="D57" s="403"/>
    </row>
    <row r="58" spans="1:4" s="68" customFormat="1" ht="20.100000000000001" customHeight="1" thickBot="1" x14ac:dyDescent="0.3">
      <c r="A58" s="223"/>
      <c r="B58" s="217" t="s">
        <v>95</v>
      </c>
      <c r="C58" s="218">
        <f>IFERROR(D58/D23,0)</f>
        <v>0</v>
      </c>
      <c r="D58" s="404">
        <f>SUM(D55:D57)</f>
        <v>0</v>
      </c>
    </row>
    <row r="59" spans="1:4" s="68" customFormat="1" ht="20.100000000000001" customHeight="1" x14ac:dyDescent="0.25">
      <c r="A59" s="398"/>
      <c r="B59" s="399"/>
      <c r="C59" s="400"/>
      <c r="D59" s="401"/>
    </row>
    <row r="60" spans="1:4" s="68" customFormat="1" ht="20.100000000000001" customHeight="1" x14ac:dyDescent="0.25">
      <c r="A60" s="398"/>
      <c r="B60" s="399"/>
      <c r="C60" s="400"/>
      <c r="D60" s="401"/>
    </row>
    <row r="61" spans="1:4" s="68" customFormat="1" ht="29.25" thickBot="1" x14ac:dyDescent="0.3">
      <c r="A61" s="394"/>
      <c r="B61" s="395" t="s">
        <v>397</v>
      </c>
      <c r="C61" s="396" t="s">
        <v>238</v>
      </c>
      <c r="D61" s="397" t="s">
        <v>239</v>
      </c>
    </row>
    <row r="62" spans="1:4" s="68" customFormat="1" ht="20.100000000000001" customHeight="1" x14ac:dyDescent="0.25">
      <c r="A62" s="172">
        <v>1</v>
      </c>
      <c r="B62" s="207" t="s">
        <v>233</v>
      </c>
      <c r="C62" s="173">
        <f>IFERROR(D62/D16,0)</f>
        <v>0</v>
      </c>
      <c r="D62" s="183"/>
    </row>
    <row r="63" spans="1:4" s="68" customFormat="1" ht="20.100000000000001" customHeight="1" x14ac:dyDescent="0.25">
      <c r="A63" s="174">
        <v>2</v>
      </c>
      <c r="B63" s="204" t="s">
        <v>254</v>
      </c>
      <c r="C63" s="175">
        <f>IFERROR(D63/D16,0)</f>
        <v>0</v>
      </c>
      <c r="D63" s="184"/>
    </row>
    <row r="64" spans="1:4" s="68" customFormat="1" ht="20.100000000000001" customHeight="1" x14ac:dyDescent="0.25">
      <c r="A64" s="172">
        <v>3</v>
      </c>
      <c r="B64" s="204" t="s">
        <v>285</v>
      </c>
      <c r="C64" s="175">
        <f>IFERROR(D64/D16,0)</f>
        <v>0</v>
      </c>
      <c r="D64" s="184"/>
    </row>
    <row r="65" spans="1:4" s="68" customFormat="1" ht="20.100000000000001" customHeight="1" x14ac:dyDescent="0.25">
      <c r="A65" s="172">
        <v>4</v>
      </c>
      <c r="B65" s="204" t="s">
        <v>342</v>
      </c>
      <c r="C65" s="175">
        <f>IFERROR(D65/D16,0)</f>
        <v>0</v>
      </c>
      <c r="D65" s="184"/>
    </row>
    <row r="66" spans="1:4" s="68" customFormat="1" ht="20.100000000000001" customHeight="1" x14ac:dyDescent="0.25">
      <c r="A66" s="174">
        <v>5</v>
      </c>
      <c r="B66" s="204" t="s">
        <v>226</v>
      </c>
      <c r="C66" s="175">
        <f>IFERROR(D66/D16,0)</f>
        <v>0</v>
      </c>
      <c r="D66" s="184"/>
    </row>
    <row r="67" spans="1:4" s="68" customFormat="1" ht="20.100000000000001" customHeight="1" x14ac:dyDescent="0.25">
      <c r="A67" s="172">
        <v>6</v>
      </c>
      <c r="B67" s="204" t="s">
        <v>280</v>
      </c>
      <c r="C67" s="175">
        <f>IFERROR(D67/D16,0)</f>
        <v>8.2884719787483588E-2</v>
      </c>
      <c r="D67" s="184">
        <v>200</v>
      </c>
    </row>
    <row r="68" spans="1:4" s="68" customFormat="1" ht="20.100000000000001" customHeight="1" x14ac:dyDescent="0.25">
      <c r="A68" s="172">
        <v>7</v>
      </c>
      <c r="B68" s="204" t="s">
        <v>227</v>
      </c>
      <c r="C68" s="175">
        <f>IFERROR(D68/D16,0)</f>
        <v>0</v>
      </c>
      <c r="D68" s="184"/>
    </row>
    <row r="69" spans="1:4" s="68" customFormat="1" ht="20.100000000000001" customHeight="1" x14ac:dyDescent="0.25">
      <c r="A69" s="174">
        <v>8</v>
      </c>
      <c r="B69" s="204" t="s">
        <v>276</v>
      </c>
      <c r="C69" s="175">
        <f>IFERROR(D69/D16,0)</f>
        <v>0</v>
      </c>
      <c r="D69" s="184"/>
    </row>
    <row r="70" spans="1:4" s="68" customFormat="1" ht="20.100000000000001" customHeight="1" x14ac:dyDescent="0.25">
      <c r="A70" s="172">
        <v>9</v>
      </c>
      <c r="B70" s="204" t="s">
        <v>277</v>
      </c>
      <c r="C70" s="175">
        <f>IFERROR(D70/D16,0)</f>
        <v>0</v>
      </c>
      <c r="D70" s="184"/>
    </row>
    <row r="71" spans="1:4" s="68" customFormat="1" ht="20.100000000000001" customHeight="1" x14ac:dyDescent="0.25">
      <c r="A71" s="172">
        <v>10</v>
      </c>
      <c r="B71" s="204" t="s">
        <v>228</v>
      </c>
      <c r="C71" s="175">
        <f>IFERROR(D71/D16,0)</f>
        <v>0</v>
      </c>
      <c r="D71" s="184"/>
    </row>
    <row r="72" spans="1:4" s="68" customFormat="1" ht="20.100000000000001" customHeight="1" x14ac:dyDescent="0.25">
      <c r="A72" s="174">
        <v>11</v>
      </c>
      <c r="B72" s="204" t="s">
        <v>278</v>
      </c>
      <c r="C72" s="175">
        <f>IFERROR(D72/D16,0)</f>
        <v>0.29009651925619256</v>
      </c>
      <c r="D72" s="184">
        <v>700</v>
      </c>
    </row>
    <row r="73" spans="1:4" s="68" customFormat="1" ht="20.100000000000001" customHeight="1" x14ac:dyDescent="0.25">
      <c r="A73" s="172">
        <v>12</v>
      </c>
      <c r="B73" s="204" t="s">
        <v>279</v>
      </c>
      <c r="C73" s="175">
        <f>IFERROR(D73/D16,0)</f>
        <v>0</v>
      </c>
      <c r="D73" s="184"/>
    </row>
    <row r="74" spans="1:4" s="68" customFormat="1" ht="20.100000000000001" customHeight="1" x14ac:dyDescent="0.25">
      <c r="A74" s="172">
        <v>13</v>
      </c>
      <c r="B74" s="204" t="s">
        <v>283</v>
      </c>
      <c r="C74" s="175">
        <f>IFERROR(D74/D16,0)</f>
        <v>0</v>
      </c>
      <c r="D74" s="184"/>
    </row>
    <row r="75" spans="1:4" s="68" customFormat="1" ht="20.100000000000001" customHeight="1" x14ac:dyDescent="0.25">
      <c r="A75" s="174">
        <v>14</v>
      </c>
      <c r="B75" s="204" t="s">
        <v>281</v>
      </c>
      <c r="C75" s="175">
        <f>IFERROR(D75/D16,0)</f>
        <v>0</v>
      </c>
      <c r="D75" s="184"/>
    </row>
    <row r="76" spans="1:4" s="68" customFormat="1" ht="20.100000000000001" customHeight="1" x14ac:dyDescent="0.25">
      <c r="A76" s="172">
        <v>15</v>
      </c>
      <c r="B76" s="204" t="s">
        <v>229</v>
      </c>
      <c r="C76" s="175">
        <f>IFERROR(D76/D16,0)</f>
        <v>0</v>
      </c>
      <c r="D76" s="184"/>
    </row>
    <row r="77" spans="1:4" s="68" customFormat="1" ht="20.100000000000001" customHeight="1" x14ac:dyDescent="0.25">
      <c r="A77" s="172">
        <v>16</v>
      </c>
      <c r="B77" s="204" t="s">
        <v>230</v>
      </c>
      <c r="C77" s="175">
        <f>IFERROR(D77/D16,0)</f>
        <v>0</v>
      </c>
      <c r="D77" s="184"/>
    </row>
    <row r="78" spans="1:4" s="68" customFormat="1" ht="20.100000000000001" customHeight="1" x14ac:dyDescent="0.25">
      <c r="A78" s="174">
        <v>17</v>
      </c>
      <c r="B78" s="204" t="s">
        <v>231</v>
      </c>
      <c r="C78" s="175">
        <f>IFERROR(D78/D16,0)</f>
        <v>0</v>
      </c>
      <c r="D78" s="184"/>
    </row>
    <row r="79" spans="1:4" s="68" customFormat="1" ht="20.100000000000001" customHeight="1" x14ac:dyDescent="0.25">
      <c r="A79" s="172">
        <v>18</v>
      </c>
      <c r="B79" s="204" t="s">
        <v>235</v>
      </c>
      <c r="C79" s="175">
        <f>IFERROR(D79/D16,0)</f>
        <v>4.1442359893741794E-2</v>
      </c>
      <c r="D79" s="184">
        <v>100</v>
      </c>
    </row>
    <row r="80" spans="1:4" s="68" customFormat="1" ht="20.100000000000001" customHeight="1" x14ac:dyDescent="0.25">
      <c r="A80" s="172">
        <v>19</v>
      </c>
      <c r="B80" s="204" t="s">
        <v>236</v>
      </c>
      <c r="C80" s="175">
        <f>IFERROR(D80/D16,0)</f>
        <v>0</v>
      </c>
      <c r="D80" s="184"/>
    </row>
    <row r="81" spans="1:6" s="68" customFormat="1" ht="20.100000000000001" customHeight="1" x14ac:dyDescent="0.25">
      <c r="A81" s="174">
        <v>20</v>
      </c>
      <c r="B81" s="204" t="s">
        <v>284</v>
      </c>
      <c r="C81" s="175">
        <f>IFERROR(D81/D16,0)</f>
        <v>0</v>
      </c>
      <c r="D81" s="184"/>
    </row>
    <row r="82" spans="1:6" s="68" customFormat="1" ht="20.100000000000001" customHeight="1" x14ac:dyDescent="0.25">
      <c r="A82" s="172">
        <v>21</v>
      </c>
      <c r="B82" s="204" t="s">
        <v>282</v>
      </c>
      <c r="C82" s="175">
        <f>IFERROR(D82/D16,0)</f>
        <v>0</v>
      </c>
      <c r="D82" s="184"/>
    </row>
    <row r="83" spans="1:6" s="68" customFormat="1" ht="20.100000000000001" customHeight="1" x14ac:dyDescent="0.25">
      <c r="A83" s="172">
        <v>22</v>
      </c>
      <c r="B83" s="204" t="s">
        <v>237</v>
      </c>
      <c r="C83" s="175">
        <f>IFERROR(D83/D16,0)</f>
        <v>0</v>
      </c>
      <c r="D83" s="184"/>
      <c r="F83" s="49"/>
    </row>
    <row r="84" spans="1:6" s="68" customFormat="1" ht="20.100000000000001" customHeight="1" x14ac:dyDescent="0.25">
      <c r="A84" s="174">
        <v>23</v>
      </c>
      <c r="B84" s="204" t="s">
        <v>83</v>
      </c>
      <c r="C84" s="175">
        <f>IFERROR(D84/D16,0)</f>
        <v>0.43514477888428882</v>
      </c>
      <c r="D84" s="184">
        <v>1050</v>
      </c>
      <c r="F84" s="49"/>
    </row>
    <row r="85" spans="1:6" s="68" customFormat="1" ht="20.100000000000001" customHeight="1" thickBot="1" x14ac:dyDescent="0.3">
      <c r="A85" s="223"/>
      <c r="B85" s="219" t="s">
        <v>95</v>
      </c>
      <c r="C85" s="218">
        <f>IFERROR(D85/D16,0)</f>
        <v>0.8495683778217068</v>
      </c>
      <c r="D85" s="216">
        <f>SUM(D62:D84)</f>
        <v>2050</v>
      </c>
      <c r="F85" s="49"/>
    </row>
    <row r="86" spans="1:6" s="68" customFormat="1" ht="20.100000000000001" customHeight="1" x14ac:dyDescent="0.25">
      <c r="A86" s="180"/>
      <c r="B86" s="181"/>
      <c r="C86" s="181"/>
      <c r="D86" s="182"/>
    </row>
    <row r="87" spans="1:6" s="68" customFormat="1" ht="20.100000000000001" customHeight="1" thickBot="1" x14ac:dyDescent="0.3"/>
    <row r="88" spans="1:6" s="68" customFormat="1" ht="20.100000000000001" customHeight="1" thickBot="1" x14ac:dyDescent="0.3">
      <c r="A88" s="384"/>
      <c r="B88" s="387" t="s">
        <v>398</v>
      </c>
      <c r="C88" s="382" t="s">
        <v>238</v>
      </c>
      <c r="D88" s="383" t="s">
        <v>239</v>
      </c>
    </row>
    <row r="89" spans="1:6" s="68" customFormat="1" ht="20.100000000000001" customHeight="1" x14ac:dyDescent="0.25">
      <c r="A89" s="222">
        <v>1</v>
      </c>
      <c r="B89" s="203" t="s">
        <v>232</v>
      </c>
      <c r="C89" s="224">
        <f>IFERROR(D89/D16,0)</f>
        <v>0</v>
      </c>
      <c r="D89" s="178"/>
    </row>
    <row r="90" spans="1:6" s="68" customFormat="1" ht="20.100000000000001" customHeight="1" x14ac:dyDescent="0.25">
      <c r="A90" s="174">
        <v>2</v>
      </c>
      <c r="B90" s="204" t="s">
        <v>234</v>
      </c>
      <c r="C90" s="225">
        <f>IFERROR(D90/D16,0)</f>
        <v>0</v>
      </c>
      <c r="D90" s="176"/>
    </row>
    <row r="91" spans="1:6" s="68" customFormat="1" ht="20.100000000000001" customHeight="1" x14ac:dyDescent="0.25">
      <c r="A91" s="174">
        <v>3</v>
      </c>
      <c r="B91" s="204" t="s">
        <v>253</v>
      </c>
      <c r="C91" s="225">
        <f>IFERROR(D91/D16,0)</f>
        <v>0</v>
      </c>
      <c r="D91" s="176"/>
    </row>
    <row r="92" spans="1:6" s="68" customFormat="1" ht="20.100000000000001" customHeight="1" x14ac:dyDescent="0.25">
      <c r="A92" s="174">
        <v>4</v>
      </c>
      <c r="B92" s="204" t="s">
        <v>190</v>
      </c>
      <c r="C92" s="225">
        <f>IFERROR(D92/D16,0)</f>
        <v>0</v>
      </c>
      <c r="D92" s="176"/>
    </row>
    <row r="93" spans="1:6" s="68" customFormat="1" ht="20.100000000000001" customHeight="1" x14ac:dyDescent="0.25">
      <c r="A93" s="174">
        <v>5</v>
      </c>
      <c r="B93" s="204" t="s">
        <v>255</v>
      </c>
      <c r="C93" s="225">
        <f>IFERROR(D93/D16,0)</f>
        <v>0</v>
      </c>
      <c r="D93" s="176"/>
    </row>
    <row r="94" spans="1:6" s="68" customFormat="1" ht="20.100000000000001" customHeight="1" x14ac:dyDescent="0.25">
      <c r="A94" s="174">
        <v>6</v>
      </c>
      <c r="B94" s="204" t="s">
        <v>83</v>
      </c>
      <c r="C94" s="225">
        <f>IFERROR(D94/D16,0)</f>
        <v>0</v>
      </c>
      <c r="D94" s="176"/>
    </row>
    <row r="95" spans="1:6" s="68" customFormat="1" ht="20.100000000000001" customHeight="1" thickBot="1" x14ac:dyDescent="0.3">
      <c r="A95" s="223"/>
      <c r="B95" s="215" t="s">
        <v>95</v>
      </c>
      <c r="C95" s="220">
        <f>IFERROR(D95/D16,0)</f>
        <v>0</v>
      </c>
      <c r="D95" s="221">
        <f>SUM(D89:D94)</f>
        <v>0</v>
      </c>
    </row>
    <row r="96" spans="1:6" s="68" customFormat="1" ht="15" x14ac:dyDescent="0.25">
      <c r="B96" s="49"/>
      <c r="E96" s="49"/>
    </row>
    <row r="97" spans="1:5" s="68" customFormat="1" ht="15" x14ac:dyDescent="0.25">
      <c r="B97" s="49"/>
      <c r="E97" s="49"/>
    </row>
    <row r="98" spans="1:5" s="68" customFormat="1" ht="15" x14ac:dyDescent="0.25">
      <c r="B98" s="49"/>
      <c r="E98" s="49"/>
    </row>
    <row r="99" spans="1:5" s="68" customFormat="1" ht="15" x14ac:dyDescent="0.25">
      <c r="B99" s="49"/>
      <c r="E99" s="49"/>
    </row>
    <row r="100" spans="1:5" s="68" customFormat="1" ht="15" x14ac:dyDescent="0.25">
      <c r="B100" s="49"/>
      <c r="E100" s="49"/>
    </row>
    <row r="101" spans="1:5" s="68" customFormat="1" ht="15" x14ac:dyDescent="0.25">
      <c r="B101" s="49"/>
      <c r="E101" s="49"/>
    </row>
    <row r="102" spans="1:5" x14ac:dyDescent="0.25">
      <c r="A102" s="10"/>
      <c r="B102" s="8"/>
      <c r="C102" s="10"/>
      <c r="D102" s="13"/>
      <c r="E102" s="8"/>
    </row>
    <row r="103" spans="1:5" x14ac:dyDescent="0.25">
      <c r="A103" s="10"/>
      <c r="B103" s="8"/>
      <c r="C103" s="10"/>
      <c r="D103" s="13"/>
      <c r="E103" s="8"/>
    </row>
    <row r="104" spans="1:5" x14ac:dyDescent="0.25">
      <c r="A104" s="10"/>
      <c r="B104" s="8"/>
      <c r="C104" s="10"/>
      <c r="D104" s="13"/>
      <c r="E104" s="8"/>
    </row>
    <row r="105" spans="1:5" x14ac:dyDescent="0.25">
      <c r="A105" s="10"/>
      <c r="B105" s="8"/>
      <c r="D105" s="10"/>
      <c r="E105" s="8"/>
    </row>
    <row r="106" spans="1:5" x14ac:dyDescent="0.25">
      <c r="A106" s="10"/>
      <c r="B106" s="8"/>
      <c r="D106" s="10"/>
      <c r="E106" s="8"/>
    </row>
    <row r="107" spans="1:5" x14ac:dyDescent="0.25">
      <c r="A107" s="10"/>
      <c r="B107" s="8"/>
      <c r="D107" s="10"/>
      <c r="E107" s="8"/>
    </row>
    <row r="108" spans="1:5" x14ac:dyDescent="0.25">
      <c r="A108" s="10"/>
      <c r="B108" s="8"/>
      <c r="D108" s="10"/>
      <c r="E108" s="8"/>
    </row>
    <row r="109" spans="1:5" x14ac:dyDescent="0.25">
      <c r="A109" s="10"/>
      <c r="B109" s="8"/>
      <c r="D109" s="10"/>
      <c r="E109" s="8"/>
    </row>
    <row r="110" spans="1:5" x14ac:dyDescent="0.25">
      <c r="A110" s="10"/>
      <c r="B110" s="8"/>
      <c r="D110" s="10"/>
      <c r="E110" s="8"/>
    </row>
    <row r="111" spans="1:5" x14ac:dyDescent="0.25">
      <c r="A111" s="10"/>
      <c r="B111" s="8"/>
      <c r="D111" s="10"/>
      <c r="E111" s="8"/>
    </row>
    <row r="112" spans="1:5" x14ac:dyDescent="0.25">
      <c r="A112" s="10"/>
      <c r="B112" s="8"/>
      <c r="D112" s="10"/>
      <c r="E112" s="8"/>
    </row>
    <row r="113" spans="1:5" x14ac:dyDescent="0.25">
      <c r="A113" s="10"/>
      <c r="B113" s="8"/>
      <c r="D113" s="10"/>
      <c r="E113" s="8"/>
    </row>
    <row r="114" spans="1:5" x14ac:dyDescent="0.25">
      <c r="A114" s="10"/>
      <c r="B114" s="8"/>
      <c r="D114" s="10"/>
      <c r="E114" s="8"/>
    </row>
    <row r="115" spans="1:5" x14ac:dyDescent="0.25">
      <c r="A115" s="10"/>
      <c r="B115" s="8"/>
      <c r="D115" s="10"/>
      <c r="E115" s="8"/>
    </row>
    <row r="116" spans="1:5" x14ac:dyDescent="0.25">
      <c r="A116" s="10"/>
      <c r="B116" s="8"/>
      <c r="D116" s="10"/>
      <c r="E116" s="8"/>
    </row>
    <row r="117" spans="1:5" x14ac:dyDescent="0.25">
      <c r="A117" s="10"/>
      <c r="B117" s="8"/>
      <c r="D117" s="10"/>
      <c r="E117" s="8"/>
    </row>
    <row r="118" spans="1:5" x14ac:dyDescent="0.25">
      <c r="A118" s="10"/>
      <c r="B118" s="8"/>
      <c r="D118" s="10"/>
      <c r="E118" s="8"/>
    </row>
    <row r="119" spans="1:5" x14ac:dyDescent="0.25">
      <c r="A119" s="10"/>
      <c r="B119" s="8"/>
      <c r="D119" s="10"/>
      <c r="E119" s="8"/>
    </row>
    <row r="120" spans="1:5" x14ac:dyDescent="0.25">
      <c r="A120" s="10"/>
      <c r="B120" s="8"/>
      <c r="D120" s="10"/>
      <c r="E120" s="8"/>
    </row>
    <row r="121" spans="1:5" x14ac:dyDescent="0.25">
      <c r="A121" s="10"/>
      <c r="B121" s="8"/>
      <c r="D121" s="10"/>
      <c r="E121" s="8"/>
    </row>
    <row r="122" spans="1:5" x14ac:dyDescent="0.25">
      <c r="A122" s="10"/>
      <c r="B122" s="8"/>
      <c r="D122" s="10"/>
      <c r="E122" s="8"/>
    </row>
    <row r="123" spans="1:5" x14ac:dyDescent="0.25">
      <c r="A123" s="10"/>
      <c r="B123" s="8"/>
      <c r="D123" s="10"/>
      <c r="E123" s="8"/>
    </row>
    <row r="124" spans="1:5" x14ac:dyDescent="0.25">
      <c r="A124" s="10"/>
      <c r="B124" s="8"/>
      <c r="D124" s="10"/>
      <c r="E124" s="8"/>
    </row>
    <row r="125" spans="1:5" x14ac:dyDescent="0.25">
      <c r="A125" s="10"/>
      <c r="B125" s="8"/>
      <c r="D125" s="10"/>
      <c r="E125" s="8"/>
    </row>
    <row r="126" spans="1:5" x14ac:dyDescent="0.25">
      <c r="A126" s="10"/>
      <c r="B126" s="8"/>
      <c r="D126" s="10"/>
      <c r="E126" s="8"/>
    </row>
    <row r="127" spans="1:5" x14ac:dyDescent="0.25">
      <c r="A127" s="10"/>
      <c r="B127" s="8"/>
      <c r="D127" s="10"/>
      <c r="E127" s="8"/>
    </row>
    <row r="128" spans="1:5" x14ac:dyDescent="0.25">
      <c r="A128" s="10"/>
      <c r="B128" s="8"/>
      <c r="D128" s="10"/>
      <c r="E128" s="8"/>
    </row>
    <row r="129" spans="1:5" x14ac:dyDescent="0.25">
      <c r="A129" s="10"/>
      <c r="B129" s="8"/>
      <c r="D129" s="10"/>
      <c r="E129" s="8"/>
    </row>
    <row r="130" spans="1:5" x14ac:dyDescent="0.25">
      <c r="A130" s="10"/>
      <c r="B130" s="8"/>
      <c r="C130" s="10"/>
      <c r="D130" s="8"/>
      <c r="E130" s="10"/>
    </row>
    <row r="131" spans="1:5" x14ac:dyDescent="0.25">
      <c r="A131" s="10"/>
      <c r="B131" s="8"/>
      <c r="C131" s="10"/>
      <c r="D131" s="8"/>
      <c r="E131" s="10"/>
    </row>
    <row r="132" spans="1:5" x14ac:dyDescent="0.25">
      <c r="A132" s="10"/>
      <c r="B132" s="8"/>
      <c r="C132" s="10"/>
      <c r="D132" s="8"/>
      <c r="E132" s="10"/>
    </row>
    <row r="133" spans="1:5" x14ac:dyDescent="0.25">
      <c r="A133" s="5"/>
      <c r="B133" s="6"/>
      <c r="C133" s="150"/>
      <c r="D133" s="7"/>
      <c r="E133" s="150"/>
    </row>
    <row r="134" spans="1:5" x14ac:dyDescent="0.25">
      <c r="A134" s="5"/>
      <c r="B134" s="6"/>
      <c r="C134" s="150"/>
      <c r="D134" s="7"/>
      <c r="E134" s="150"/>
    </row>
    <row r="135" spans="1:5" x14ac:dyDescent="0.25">
      <c r="A135" s="5"/>
      <c r="B135" s="6"/>
      <c r="C135" s="150"/>
      <c r="D135" s="7"/>
      <c r="E135" s="150"/>
    </row>
    <row r="136" spans="1:5" x14ac:dyDescent="0.25">
      <c r="A136" s="5"/>
      <c r="B136" s="6"/>
      <c r="D136" s="7"/>
      <c r="E136" s="8"/>
    </row>
    <row r="137" spans="1:5" x14ac:dyDescent="0.25">
      <c r="A137" s="5"/>
      <c r="B137" s="6"/>
      <c r="D137" s="7"/>
      <c r="E137" s="8"/>
    </row>
    <row r="138" spans="1:5" x14ac:dyDescent="0.25">
      <c r="D138" s="7"/>
      <c r="E138" s="8"/>
    </row>
    <row r="139" spans="1:5" x14ac:dyDescent="0.25">
      <c r="D139" s="7"/>
      <c r="E139" s="8"/>
    </row>
    <row r="140" spans="1:5" x14ac:dyDescent="0.25">
      <c r="D140" s="7"/>
      <c r="E140" s="8"/>
    </row>
    <row r="141" spans="1:5" x14ac:dyDescent="0.25">
      <c r="D141" s="7"/>
      <c r="E141" s="8"/>
    </row>
    <row r="142" spans="1:5" x14ac:dyDescent="0.25">
      <c r="E142" s="8"/>
    </row>
    <row r="143" spans="1:5" x14ac:dyDescent="0.25">
      <c r="E143" s="8"/>
    </row>
    <row r="144" spans="1:5" x14ac:dyDescent="0.25">
      <c r="E144" s="8"/>
    </row>
    <row r="145" spans="5:5" x14ac:dyDescent="0.25">
      <c r="E145" s="8"/>
    </row>
    <row r="146" spans="5:5" x14ac:dyDescent="0.25">
      <c r="E146" s="8"/>
    </row>
    <row r="147" spans="5:5" x14ac:dyDescent="0.25">
      <c r="E147" s="8"/>
    </row>
    <row r="148" spans="5:5" x14ac:dyDescent="0.25">
      <c r="E148" s="8"/>
    </row>
    <row r="149" spans="5:5" x14ac:dyDescent="0.25">
      <c r="E149" s="8"/>
    </row>
    <row r="150" spans="5:5" x14ac:dyDescent="0.25">
      <c r="E150" s="8"/>
    </row>
    <row r="151" spans="5:5" x14ac:dyDescent="0.25">
      <c r="E151" s="8"/>
    </row>
    <row r="152" spans="5:5" x14ac:dyDescent="0.25">
      <c r="E152" s="8"/>
    </row>
    <row r="153" spans="5:5" x14ac:dyDescent="0.25">
      <c r="E153" s="8"/>
    </row>
    <row r="154" spans="5:5" x14ac:dyDescent="0.25">
      <c r="E154" s="8"/>
    </row>
    <row r="155" spans="5:5" x14ac:dyDescent="0.25">
      <c r="E155" s="8"/>
    </row>
    <row r="156" spans="5:5" x14ac:dyDescent="0.25">
      <c r="E156" s="8"/>
    </row>
    <row r="157" spans="5:5" x14ac:dyDescent="0.25">
      <c r="E157" s="8"/>
    </row>
    <row r="158" spans="5:5" x14ac:dyDescent="0.25">
      <c r="E158" s="8"/>
    </row>
    <row r="159" spans="5:5" x14ac:dyDescent="0.25">
      <c r="E159" s="8"/>
    </row>
    <row r="160" spans="5:5" x14ac:dyDescent="0.25">
      <c r="E160" s="8"/>
    </row>
    <row r="161" spans="5:5" x14ac:dyDescent="0.25">
      <c r="E161" s="8"/>
    </row>
    <row r="162" spans="5:5" x14ac:dyDescent="0.25">
      <c r="E162" s="8"/>
    </row>
    <row r="163" spans="5:5" x14ac:dyDescent="0.25">
      <c r="E163" s="8"/>
    </row>
    <row r="164" spans="5:5" x14ac:dyDescent="0.25">
      <c r="E164" s="8"/>
    </row>
  </sheetData>
  <sheetProtection algorithmName="SHA-512" hashValue="1YQtt8c/93IeLlcnoaGEaM33CPiuph4ZP8p9asvQzz9dLQ6Gc9UuqPCuUbOUADcrnvHWu1tHvO35ZIj3OX8TVg==" saltValue="GBjnqsXfmtACs7g+zo3/ag==" spinCount="100000" sheet="1" objects="1" scenarios="1" selectLockedCells="1"/>
  <mergeCells count="2">
    <mergeCell ref="A1:D1"/>
    <mergeCell ref="A2:D2"/>
  </mergeCells>
  <dataValidations xWindow="945" yWindow="537" count="9">
    <dataValidation allowBlank="1" showInputMessage="1" showErrorMessage="1" prompt="Please input your registered business name as appears on your BoG License" sqref="C4" xr:uid="{00000000-0002-0000-0300-000000000000}"/>
    <dataValidation allowBlank="1" showInputMessage="1" showErrorMessage="1" prompt="Please input the MCAG membership ID given to you by MCAG here." sqref="C5" xr:uid="{00000000-0002-0000-0300-000001000000}"/>
    <dataValidation allowBlank="1" showInputMessage="1" showErrorMessage="1" prompt="Please state the period covered by the report (e.g. October-December 2014 for quarter ending December 2014)." sqref="C7" xr:uid="{00000000-0002-0000-0300-000002000000}"/>
    <dataValidation allowBlank="1" showInputMessage="1" showErrorMessage="1" prompt="Please state Month/Year ending the reporting period (e.g. 12/2014 for quarter ending December 2014)" sqref="C8" xr:uid="{00000000-0002-0000-0300-000003000000}"/>
    <dataValidation allowBlank="1" showInputMessage="1" showErrorMessage="1" prompt="Please select code representing validation type of report (&quot;MLAG-PR-UA&quot; is for performance report unaudited - mainly quarterly; &quot;MLAG-PR-A&quot; is for performance report audited - mainly annual)" sqref="C6" xr:uid="{00000000-0002-0000-0300-000004000000}"/>
    <dataValidation type="custom" allowBlank="1" showInputMessage="1" showErrorMessage="1" error="Please enter a valid amount to proceed" prompt="Please make sure that your input is an amount value." sqref="D13:D15 D27 D19:D21 D24" xr:uid="{00000000-0002-0000-0300-000005000000}">
      <formula1>ISNUMBER(D13)</formula1>
    </dataValidation>
    <dataValidation type="decimal" operator="greaterThanOrEqual" allowBlank="1" showInputMessage="1" showErrorMessage="1" sqref="D44 D51:D52 D85 D58:D60" xr:uid="{00000000-0002-0000-0300-000006000000}">
      <formula1>0</formula1>
    </dataValidation>
    <dataValidation type="custom" operator="greaterThanOrEqual" allowBlank="1" showInputMessage="1" showErrorMessage="1" error="Please enter a valid amount to proceed" prompt="Please make sure that your input is an amount value" sqref="D32:D35 D40:D43 D89:D94 D48:D50 D62:D84 D55:D57" xr:uid="{00000000-0002-0000-0300-000007000000}">
      <formula1>ISNUMBER(D32)</formula1>
    </dataValidation>
    <dataValidation type="decimal" operator="lessThanOrEqual" allowBlank="1" showInputMessage="1" showErrorMessage="1" error="Please your input should be a NEGATIVE value." prompt="Please make sure that your input is a NEGATIVE value." sqref="D25" xr:uid="{00000000-0002-0000-0300-000008000000}">
      <formula1>0</formula1>
    </dataValidation>
  </dataValidations>
  <pageMargins left="0.7" right="0.7" top="0.75" bottom="0.75" header="0.3" footer="0.3"/>
  <pageSetup orientation="portrait" r:id="rId1"/>
  <ignoredErrors>
    <ignoredError sqref="C61 C37:C39 C45:C47 C52:C53 C86:C88 C96:C98" evalError="1"/>
    <ignoredError sqref="A18 A13:A1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F37"/>
  <sheetViews>
    <sheetView topLeftCell="A16" zoomScale="90" zoomScaleNormal="90" workbookViewId="0">
      <selection activeCell="D30" sqref="D30"/>
    </sheetView>
  </sheetViews>
  <sheetFormatPr defaultColWidth="9.28515625" defaultRowHeight="15.75" x14ac:dyDescent="0.25"/>
  <cols>
    <col min="1" max="1" width="6.7109375" style="9" customWidth="1"/>
    <col min="2" max="2" width="52.5703125" style="48" customWidth="1"/>
    <col min="3" max="3" width="78.7109375" style="49" customWidth="1"/>
    <col min="4" max="4" width="29.28515625" style="11" customWidth="1"/>
    <col min="5" max="5" width="10.42578125" style="13" customWidth="1"/>
    <col min="6" max="6" width="10.5703125" style="13" customWidth="1"/>
    <col min="7" max="16384" width="9.28515625" style="13"/>
  </cols>
  <sheetData>
    <row r="1" spans="1:6" s="14" customFormat="1" ht="18.75" x14ac:dyDescent="0.25">
      <c r="A1" s="426" t="str">
        <f>'Profit &amp; Loss Statement'!A1:D1</f>
        <v xml:space="preserve">GHANA CO-OPERATIVE SUSU COLLECTORS ASSOCIATION </v>
      </c>
      <c r="B1" s="426"/>
      <c r="C1" s="426"/>
      <c r="D1" s="426"/>
      <c r="E1" s="12">
        <f>SUM(D4:D10) + IF(D36=D20,0,1) + IF(D13="",1,0) + IF(D13=0,1,0) + IF(D17=0,1,0) + IF(D18=0,1,0) +  IF(D30=0,1,0)</f>
        <v>0</v>
      </c>
      <c r="F1" s="47" t="str">
        <f>IF(D36&lt;&gt;D20,"Error!",IF(SUM(D4:D10)&gt;0,"Error!",IF(D13=0,"Error!",IF(D17=0,"Error!",IF(D18=0,"Error!",IF(D30=0,"Error!",""))))))</f>
        <v/>
      </c>
    </row>
    <row r="2" spans="1:6" s="14" customFormat="1" ht="18.75" x14ac:dyDescent="0.25">
      <c r="A2" s="426" t="str">
        <f>'Profit &amp; Loss Statement'!A2:D2</f>
        <v>MEMBERS REPORTING TEMPLATE</v>
      </c>
      <c r="B2" s="426"/>
      <c r="C2" s="426"/>
      <c r="D2" s="426"/>
    </row>
    <row r="3" spans="1:6" x14ac:dyDescent="0.25">
      <c r="A3" s="15"/>
    </row>
    <row r="4" spans="1:6" s="16" customFormat="1" x14ac:dyDescent="0.25">
      <c r="A4" s="11"/>
      <c r="B4" s="17" t="s">
        <v>9</v>
      </c>
      <c r="C4" s="50" t="str">
        <f>IF('Profit &amp; Loss Statement'!C4 = "", "", 'Profit &amp; Loss Statement'!C4)</f>
        <v>QUICK RETURNS SUSU ENTERPRISE</v>
      </c>
      <c r="D4" s="18">
        <f>IF(C4= "",1,0)</f>
        <v>0</v>
      </c>
    </row>
    <row r="5" spans="1:6" s="16" customFormat="1" x14ac:dyDescent="0.25">
      <c r="A5" s="11"/>
      <c r="B5" s="17" t="s">
        <v>10</v>
      </c>
      <c r="C5" s="50" t="str">
        <f>IF('Profit &amp; Loss Statement'!C5 = "", "", 'Profit &amp; Loss Statement'!C5)</f>
        <v xml:space="preserve">
GCSCA-GT-0-0000288</v>
      </c>
      <c r="D5" s="18">
        <f>IF(C5= "",1,0)</f>
        <v>0</v>
      </c>
    </row>
    <row r="6" spans="1:6" s="19" customFormat="1" x14ac:dyDescent="0.25">
      <c r="A6" s="51"/>
      <c r="B6" s="17" t="s">
        <v>11</v>
      </c>
      <c r="C6" s="136" t="str">
        <f>IF('Profit &amp; Loss Statement'!C6 = "", "", 'Profit &amp; Loss Statement'!C6)</f>
        <v xml:space="preserve">GCSCA-PR-UA </v>
      </c>
      <c r="D6" s="18">
        <f>IF(C6= "",1,0)</f>
        <v>0</v>
      </c>
    </row>
    <row r="7" spans="1:6" s="16" customFormat="1" x14ac:dyDescent="0.25">
      <c r="A7" s="11"/>
      <c r="B7" s="17" t="s">
        <v>12</v>
      </c>
      <c r="C7" s="50" t="str">
        <f>IF('Profit &amp; Loss Statement'!C7 = "", "", 'Profit &amp; Loss Statement'!C7)</f>
        <v>JUNE</v>
      </c>
      <c r="D7" s="18">
        <f>IF(C7= "",1,0)</f>
        <v>0</v>
      </c>
    </row>
    <row r="8" spans="1:6" s="19" customFormat="1" x14ac:dyDescent="0.25">
      <c r="A8" s="51"/>
      <c r="B8" s="17" t="s">
        <v>13</v>
      </c>
      <c r="C8" s="52" t="str">
        <f>IF('Profit &amp; Loss Statement'!C8 = "", "", 'Profit &amp; Loss Statement'!C8)</f>
        <v>July 2026</v>
      </c>
      <c r="D8" s="18">
        <f>IF(C8="",1, 0)</f>
        <v>0</v>
      </c>
    </row>
    <row r="9" spans="1:6" s="21" customFormat="1" x14ac:dyDescent="0.25">
      <c r="A9" s="20"/>
      <c r="B9" s="17" t="s">
        <v>14</v>
      </c>
      <c r="C9" s="137" t="str">
        <f>'Profit &amp; Loss Statement'!C9</f>
        <v>2026</v>
      </c>
      <c r="D9" s="18">
        <f>IF(C9="",1, 0)</f>
        <v>0</v>
      </c>
    </row>
    <row r="10" spans="1:6" s="21" customFormat="1" x14ac:dyDescent="0.25">
      <c r="A10" s="20"/>
      <c r="B10" s="17" t="s">
        <v>156</v>
      </c>
      <c r="C10" s="138" t="str">
        <f>IF('Cover Sheet'!C10="", "", 'Cover Sheet'!C10)</f>
        <v>Greater Accra-GA</v>
      </c>
      <c r="D10" s="22">
        <f>IF(C10="",1, 0)</f>
        <v>0</v>
      </c>
    </row>
    <row r="11" spans="1:6" x14ac:dyDescent="0.25">
      <c r="A11" s="367" t="s">
        <v>41</v>
      </c>
      <c r="B11" s="368" t="s">
        <v>42</v>
      </c>
      <c r="C11" s="369"/>
      <c r="D11" s="370"/>
    </row>
    <row r="12" spans="1:6" x14ac:dyDescent="0.25">
      <c r="A12" s="64"/>
      <c r="B12" s="65" t="s">
        <v>43</v>
      </c>
      <c r="C12" s="66"/>
      <c r="D12" s="67" t="s">
        <v>20</v>
      </c>
    </row>
    <row r="13" spans="1:6" ht="30" x14ac:dyDescent="0.25">
      <c r="A13" s="25" t="s">
        <v>44</v>
      </c>
      <c r="B13" s="53" t="s">
        <v>45</v>
      </c>
      <c r="C13" s="389" t="s">
        <v>347</v>
      </c>
      <c r="D13" s="151">
        <f>'Cash and Bank Notes'!C15</f>
        <v>55895.41</v>
      </c>
      <c r="E13" s="142" t="str">
        <f>IF(D13="","Error!", IF(D13=0, "Error!", ""))</f>
        <v/>
      </c>
    </row>
    <row r="14" spans="1:6" ht="45" x14ac:dyDescent="0.25">
      <c r="A14" s="25" t="s">
        <v>334</v>
      </c>
      <c r="B14" s="53" t="s">
        <v>257</v>
      </c>
      <c r="C14" s="54" t="s">
        <v>348</v>
      </c>
      <c r="D14" s="151">
        <f>'Investment Details'!D14</f>
        <v>3000</v>
      </c>
    </row>
    <row r="15" spans="1:6" ht="60" x14ac:dyDescent="0.25">
      <c r="A15" s="25" t="s">
        <v>46</v>
      </c>
      <c r="B15" s="53" t="s">
        <v>48</v>
      </c>
      <c r="C15" s="54" t="s">
        <v>49</v>
      </c>
      <c r="D15" s="151">
        <f>'Acc Receivables &amp; Other Assets'!D14</f>
        <v>0</v>
      </c>
    </row>
    <row r="16" spans="1:6" ht="60" x14ac:dyDescent="0.25">
      <c r="A16" s="25" t="s">
        <v>335</v>
      </c>
      <c r="B16" s="53" t="s">
        <v>51</v>
      </c>
      <c r="C16" s="54" t="s">
        <v>52</v>
      </c>
      <c r="D16" s="151">
        <f>'Investment Details'!D29</f>
        <v>0</v>
      </c>
    </row>
    <row r="17" spans="1:5" ht="30" x14ac:dyDescent="0.25">
      <c r="A17" s="25" t="s">
        <v>336</v>
      </c>
      <c r="B17" s="53" t="s">
        <v>54</v>
      </c>
      <c r="C17" s="54" t="s">
        <v>55</v>
      </c>
      <c r="D17" s="1">
        <v>74500</v>
      </c>
      <c r="E17" s="142" t="str">
        <f>IF(D17=0,"Error!","")</f>
        <v/>
      </c>
    </row>
    <row r="18" spans="1:5" ht="75" x14ac:dyDescent="0.25">
      <c r="A18" s="25" t="s">
        <v>337</v>
      </c>
      <c r="B18" s="53" t="s">
        <v>57</v>
      </c>
      <c r="C18" s="54" t="s">
        <v>58</v>
      </c>
      <c r="D18" s="56">
        <v>-3724.86</v>
      </c>
      <c r="E18" s="142" t="str">
        <f>IF(D18=0,"Error!","")</f>
        <v/>
      </c>
    </row>
    <row r="19" spans="1:5" x14ac:dyDescent="0.25">
      <c r="A19" s="25" t="s">
        <v>47</v>
      </c>
      <c r="B19" s="30" t="s">
        <v>60</v>
      </c>
      <c r="C19" s="54" t="s">
        <v>61</v>
      </c>
      <c r="D19" s="62">
        <f>D17+D18</f>
        <v>70775.14</v>
      </c>
    </row>
    <row r="20" spans="1:5" x14ac:dyDescent="0.25">
      <c r="A20" s="25" t="s">
        <v>50</v>
      </c>
      <c r="B20" s="30" t="s">
        <v>63</v>
      </c>
      <c r="C20" s="54"/>
      <c r="D20" s="63">
        <f>ROUND((D13+D14+D15+D16+D19),2)</f>
        <v>129670.55</v>
      </c>
    </row>
    <row r="21" spans="1:5" s="40" customFormat="1" x14ac:dyDescent="0.25">
      <c r="A21" s="91"/>
      <c r="B21" s="92" t="s">
        <v>64</v>
      </c>
      <c r="C21" s="93"/>
      <c r="D21" s="94"/>
    </row>
    <row r="22" spans="1:5" ht="45" x14ac:dyDescent="0.25">
      <c r="A22" s="25" t="s">
        <v>53</v>
      </c>
      <c r="B22" s="388" t="s">
        <v>316</v>
      </c>
      <c r="C22" s="57" t="s">
        <v>344</v>
      </c>
      <c r="D22" s="151">
        <f>'Deposits Portfolio'!E16</f>
        <v>31255</v>
      </c>
      <c r="E22" s="142" t="str">
        <f>IF('Deposits Portfolio'!E16&lt;&gt;D22,"Error!","")</f>
        <v/>
      </c>
    </row>
    <row r="23" spans="1:5" ht="31.5" x14ac:dyDescent="0.25">
      <c r="A23" s="25" t="s">
        <v>56</v>
      </c>
      <c r="B23" s="53" t="s">
        <v>67</v>
      </c>
      <c r="C23" s="54" t="s">
        <v>359</v>
      </c>
      <c r="D23" s="151">
        <f>Borrowings!D15</f>
        <v>0</v>
      </c>
    </row>
    <row r="24" spans="1:5" ht="31.5" x14ac:dyDescent="0.25">
      <c r="A24" s="25" t="s">
        <v>59</v>
      </c>
      <c r="B24" s="53" t="s">
        <v>69</v>
      </c>
      <c r="C24" s="54" t="s">
        <v>360</v>
      </c>
      <c r="D24" s="151">
        <f>Borrowings!D40</f>
        <v>0</v>
      </c>
    </row>
    <row r="25" spans="1:5" x14ac:dyDescent="0.25">
      <c r="A25" s="25" t="s">
        <v>62</v>
      </c>
      <c r="B25" s="30" t="s">
        <v>71</v>
      </c>
      <c r="C25" s="54"/>
      <c r="D25" s="63">
        <f>ROUND((D23+D24),2)</f>
        <v>0</v>
      </c>
    </row>
    <row r="26" spans="1:5" ht="33.75" customHeight="1" x14ac:dyDescent="0.25">
      <c r="A26" s="25" t="s">
        <v>65</v>
      </c>
      <c r="B26" s="53" t="s">
        <v>361</v>
      </c>
      <c r="C26" s="54" t="s">
        <v>362</v>
      </c>
      <c r="D26" s="147"/>
    </row>
    <row r="27" spans="1:5" ht="30" x14ac:dyDescent="0.25">
      <c r="A27" s="25" t="s">
        <v>66</v>
      </c>
      <c r="B27" s="53" t="s">
        <v>72</v>
      </c>
      <c r="C27" s="54" t="s">
        <v>363</v>
      </c>
      <c r="D27" s="151">
        <f>'Other Liabilities'!D14</f>
        <v>0</v>
      </c>
    </row>
    <row r="28" spans="1:5" x14ac:dyDescent="0.25">
      <c r="A28" s="25" t="s">
        <v>68</v>
      </c>
      <c r="B28" s="30" t="s">
        <v>73</v>
      </c>
      <c r="C28" s="54"/>
      <c r="D28" s="63">
        <f>ROUND((D22+D25+D26+D27),2)</f>
        <v>31255</v>
      </c>
    </row>
    <row r="29" spans="1:5" ht="19.5" customHeight="1" x14ac:dyDescent="0.25">
      <c r="A29" s="95"/>
      <c r="B29" s="95" t="s">
        <v>74</v>
      </c>
      <c r="C29" s="96"/>
      <c r="D29" s="97"/>
    </row>
    <row r="30" spans="1:5" ht="30" x14ac:dyDescent="0.25">
      <c r="A30" s="25" t="s">
        <v>70</v>
      </c>
      <c r="B30" s="50" t="s">
        <v>75</v>
      </c>
      <c r="C30" s="54" t="s">
        <v>364</v>
      </c>
      <c r="D30" s="1">
        <v>98052.56</v>
      </c>
      <c r="E30" s="142" t="str">
        <f>IF(D30=0,"Error!","")</f>
        <v/>
      </c>
    </row>
    <row r="31" spans="1:5" ht="30" x14ac:dyDescent="0.25">
      <c r="A31" s="25">
        <v>2.17</v>
      </c>
      <c r="B31" s="50" t="s">
        <v>155</v>
      </c>
      <c r="C31" s="54" t="s">
        <v>365</v>
      </c>
      <c r="D31" s="1"/>
    </row>
    <row r="32" spans="1:5" ht="30" x14ac:dyDescent="0.25">
      <c r="A32" s="25" t="s">
        <v>366</v>
      </c>
      <c r="B32" s="58" t="s">
        <v>176</v>
      </c>
      <c r="C32" s="54" t="s">
        <v>76</v>
      </c>
      <c r="D32" s="1"/>
    </row>
    <row r="33" spans="1:5" ht="19.5" customHeight="1" x14ac:dyDescent="0.25">
      <c r="A33" s="25">
        <v>2.19</v>
      </c>
      <c r="B33" s="58" t="s">
        <v>177</v>
      </c>
      <c r="C33" s="54" t="s">
        <v>77</v>
      </c>
      <c r="D33" s="141">
        <f>'Profit &amp; Loss Statement'!D28</f>
        <v>362.98999999999978</v>
      </c>
    </row>
    <row r="34" spans="1:5" x14ac:dyDescent="0.25">
      <c r="A34" s="418">
        <v>2.2000000000000002</v>
      </c>
      <c r="B34" s="58" t="s">
        <v>78</v>
      </c>
      <c r="C34" s="54" t="s">
        <v>79</v>
      </c>
      <c r="D34" s="1"/>
    </row>
    <row r="35" spans="1:5" x14ac:dyDescent="0.25">
      <c r="A35" s="25">
        <v>2.21</v>
      </c>
      <c r="B35" s="30" t="s">
        <v>80</v>
      </c>
      <c r="C35" s="54"/>
      <c r="D35" s="63">
        <f>ROUND((D30+D31+D32+D33+D34),2)</f>
        <v>98415.55</v>
      </c>
    </row>
    <row r="36" spans="1:5" x14ac:dyDescent="0.25">
      <c r="A36" s="25">
        <v>2.2200000000000002</v>
      </c>
      <c r="B36" s="30" t="s">
        <v>81</v>
      </c>
      <c r="C36" s="54"/>
      <c r="D36" s="63">
        <f>ROUND((D28+D35),2)</f>
        <v>129670.55</v>
      </c>
      <c r="E36" s="142" t="str">
        <f>IF(D36=D20,"","Error!")</f>
        <v/>
      </c>
    </row>
    <row r="37" spans="1:5" x14ac:dyDescent="0.25">
      <c r="A37" s="24"/>
      <c r="B37" s="59"/>
      <c r="C37" s="60"/>
      <c r="D37" s="55"/>
    </row>
  </sheetData>
  <sheetProtection algorithmName="SHA-512" hashValue="VC6TScrwp5TXVB3t/ELU+BCASV4osEl+4Ns8lQgiD6UhidHQjHIdfdQrEQ7a0Rbag90uxF6amzgTVCUbs7UdfA==" saltValue="FCHlfkAFpQUdtU5B8OQCnw==" spinCount="100000" sheet="1" objects="1" scenarios="1" selectLockedCells="1"/>
  <mergeCells count="2">
    <mergeCell ref="A1:D1"/>
    <mergeCell ref="A2:D2"/>
  </mergeCells>
  <phoneticPr fontId="76" type="noConversion"/>
  <dataValidations xWindow="1101" yWindow="389" count="6">
    <dataValidation allowBlank="1" showInputMessage="1" showErrorMessage="1" prompt="This value should be the same as the value for total assets" sqref="D36" xr:uid="{00000000-0002-0000-0400-000000000000}"/>
    <dataValidation type="custom" allowBlank="1" showInputMessage="1" showErrorMessage="1" error="Please enter a valid amount to proceed" prompt="Please make sure that your input is an amount value." sqref="D22:D24 D26:D27 D13:D17 D34 D32" xr:uid="{00000000-0002-0000-0400-000001000000}">
      <formula1>ISNUMBER(D13)</formula1>
    </dataValidation>
    <dataValidation type="decimal" operator="lessThanOrEqual" allowBlank="1" showInputMessage="1" showErrorMessage="1" error="Please enter a negative amount to proceed" prompt="Please make sure that your input is a NEGATIVE value." sqref="D31" xr:uid="{00000000-0002-0000-0400-000002000000}">
      <formula1>0</formula1>
    </dataValidation>
    <dataValidation type="custom" allowBlank="1" showInputMessage="1" showErrorMessage="1" sqref="D33" xr:uid="{00000000-0002-0000-0400-000003000000}">
      <formula1>ISNUMBER(D33)</formula1>
    </dataValidation>
    <dataValidation type="decimal" operator="lessThanOrEqual" allowBlank="1" showInputMessage="1" showErrorMessage="1" error="Please enter a valid amount to proceed" prompt="Please make sure that your input is a NEGATIVE value." sqref="D18" xr:uid="{00000000-0002-0000-0400-000004000000}">
      <formula1>0</formula1>
    </dataValidation>
    <dataValidation type="decimal" operator="greaterThanOrEqual" allowBlank="1" showInputMessage="1" showErrorMessage="1" error="Please enter a valid amount to proceed" prompt="Please make sure that your input is an amount value." sqref="D30" xr:uid="{00000000-0002-0000-0400-000005000000}">
      <formula1>1</formula1>
    </dataValidation>
  </dataValidations>
  <pageMargins left="0.7" right="0.7" top="0.75" bottom="0.75" header="0.3" footer="0.3"/>
  <pageSetup orientation="portrait" r:id="rId1"/>
  <ignoredErrors>
    <ignoredError sqref="A11:A32 A37" numberStoredAsText="1"/>
    <ignoredError sqref="D2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41"/>
  <sheetViews>
    <sheetView topLeftCell="A15" zoomScaleNormal="100" workbookViewId="0">
      <selection activeCell="C40" sqref="C40"/>
    </sheetView>
  </sheetViews>
  <sheetFormatPr defaultColWidth="8.7109375" defaultRowHeight="15" x14ac:dyDescent="0.25"/>
  <cols>
    <col min="1" max="1" width="8.7109375" style="226"/>
    <col min="2" max="2" width="37.42578125" style="227" customWidth="1"/>
    <col min="3" max="3" width="32.28515625" style="227" customWidth="1"/>
    <col min="4" max="4" width="24.7109375" style="226" bestFit="1" customWidth="1"/>
    <col min="5" max="34" width="8.7109375" style="226"/>
    <col min="35" max="16384" width="8.7109375" style="227"/>
  </cols>
  <sheetData>
    <row r="1" spans="1:6" s="170" customFormat="1" ht="18.75" x14ac:dyDescent="0.25">
      <c r="A1" s="426" t="str">
        <f>'Cover Sheet'!A1:D1</f>
        <v xml:space="preserve">GHANA CO-OPERATIVE SUSU COLLECTORS ASSOCIATION </v>
      </c>
      <c r="B1" s="426"/>
      <c r="C1" s="426"/>
      <c r="D1" s="426"/>
      <c r="E1" s="46">
        <f>SUM(D4:D10) + IF(C15=0,1,0)</f>
        <v>0</v>
      </c>
      <c r="F1" s="47" t="str">
        <f>IF(SUM(D4:D10)&gt;0,"Error!", IF(C15=0,"Error!", ""))</f>
        <v/>
      </c>
    </row>
    <row r="2" spans="1:6" s="170" customFormat="1" ht="18.75" x14ac:dyDescent="0.25">
      <c r="A2" s="426" t="s">
        <v>8</v>
      </c>
      <c r="B2" s="426"/>
      <c r="C2" s="426"/>
      <c r="D2" s="426"/>
    </row>
    <row r="3" spans="1:6" s="68" customFormat="1" ht="15.75" x14ac:dyDescent="0.25">
      <c r="A3" s="15"/>
      <c r="B3" s="48"/>
      <c r="C3" s="49"/>
      <c r="D3" s="11"/>
    </row>
    <row r="4" spans="1:6" s="11" customFormat="1" ht="15.75" x14ac:dyDescent="0.25">
      <c r="B4" s="17" t="s">
        <v>9</v>
      </c>
      <c r="C4" s="23" t="str">
        <f>IF('Cover Sheet'!C4="", "", 'Cover Sheet'!C4)</f>
        <v>QUICK RETURNS SUSU ENTERPRISE</v>
      </c>
      <c r="D4" s="18">
        <f>IF(C4="",1,IF(ISTEXT(C4),0,1))+IF(OR(ISNUMBER(LEFT(C4)),LEFT(C4)=" "),1,0)</f>
        <v>0</v>
      </c>
    </row>
    <row r="5" spans="1:6" s="11" customFormat="1" ht="15.75" x14ac:dyDescent="0.25">
      <c r="B5" s="17" t="s">
        <v>10</v>
      </c>
      <c r="C5" s="50" t="str">
        <f>IF('Cover Sheet'!C5="", "", 'Cover Sheet'!C5)</f>
        <v xml:space="preserve">
GCSCA-GT-0-0000288</v>
      </c>
      <c r="D5" s="18">
        <f>IF(C5="",1,IF(ISTEXT(C5),0,1))+IF(OR(ISNUMBER(LEFT(C5)),LEFT(C5)=" "),1,0)</f>
        <v>0</v>
      </c>
    </row>
    <row r="6" spans="1:6" s="51" customFormat="1" ht="15.75" x14ac:dyDescent="0.25">
      <c r="B6" s="17" t="s">
        <v>11</v>
      </c>
      <c r="C6" s="134" t="str">
        <f>IF('Cover Sheet'!C6="", "", 'Cover Sheet'!C6)</f>
        <v xml:space="preserve">GCSCA-PR-UA </v>
      </c>
      <c r="D6" s="18">
        <f>IF(C6="",1,IF(ISTEXT(C6),0,1))</f>
        <v>0</v>
      </c>
    </row>
    <row r="7" spans="1:6" s="11" customFormat="1" ht="15.75" x14ac:dyDescent="0.25">
      <c r="B7" s="17" t="s">
        <v>12</v>
      </c>
      <c r="C7" s="50" t="str">
        <f>'Balance Sheet'!C7</f>
        <v>JUNE</v>
      </c>
      <c r="D7" s="18">
        <f>IF(C7="",1,IF(ISTEXT(C7),0,1))</f>
        <v>0</v>
      </c>
    </row>
    <row r="8" spans="1:6" s="51" customFormat="1" ht="15.75" x14ac:dyDescent="0.25">
      <c r="B8" s="17" t="s">
        <v>13</v>
      </c>
      <c r="C8" s="133" t="str">
        <f>'Cover Sheet'!C9</f>
        <v>July 2026</v>
      </c>
      <c r="D8" s="18">
        <f>IF(C8="",1, 0)</f>
        <v>0</v>
      </c>
    </row>
    <row r="9" spans="1:6" s="22" customFormat="1" ht="15.75" x14ac:dyDescent="0.25">
      <c r="A9" s="20"/>
      <c r="B9" s="17" t="s">
        <v>14</v>
      </c>
      <c r="C9" s="135" t="str">
        <f>IF('Cover Sheet'!C7="", "", 'Cover Sheet'!C7)</f>
        <v>2026</v>
      </c>
      <c r="D9" s="18">
        <f>IF(C9="",1, 0)</f>
        <v>0</v>
      </c>
    </row>
    <row r="10" spans="1:6" s="22" customFormat="1" ht="15.75" x14ac:dyDescent="0.25">
      <c r="A10" s="20"/>
      <c r="B10" s="17" t="s">
        <v>156</v>
      </c>
      <c r="C10" s="135" t="str">
        <f>IF('Cover Sheet'!C10="", "", 'Cover Sheet'!C10)</f>
        <v>Greater Accra-GA</v>
      </c>
      <c r="D10" s="22">
        <f>IF(C10="",1, 0)</f>
        <v>0</v>
      </c>
    </row>
    <row r="11" spans="1:6" s="226" customFormat="1" ht="15.75" x14ac:dyDescent="0.25">
      <c r="A11" s="235"/>
      <c r="B11" s="236"/>
      <c r="C11" s="153"/>
      <c r="D11" s="153"/>
    </row>
    <row r="12" spans="1:6" ht="15.75" x14ac:dyDescent="0.25">
      <c r="A12" s="251" t="s">
        <v>181</v>
      </c>
      <c r="B12" s="371" t="s">
        <v>208</v>
      </c>
      <c r="C12" s="244">
        <f>+C21</f>
        <v>0</v>
      </c>
      <c r="D12" s="153"/>
    </row>
    <row r="13" spans="1:6" ht="15.75" x14ac:dyDescent="0.25">
      <c r="A13" s="251" t="s">
        <v>182</v>
      </c>
      <c r="B13" s="371" t="s">
        <v>183</v>
      </c>
      <c r="C13" s="244">
        <f>+C28</f>
        <v>0</v>
      </c>
      <c r="D13" s="153"/>
    </row>
    <row r="14" spans="1:6" ht="15.75" x14ac:dyDescent="0.25">
      <c r="A14" s="251" t="s">
        <v>246</v>
      </c>
      <c r="B14" s="371" t="s">
        <v>214</v>
      </c>
      <c r="C14" s="244">
        <f>+C43</f>
        <v>55895.41</v>
      </c>
      <c r="D14" s="153"/>
    </row>
    <row r="15" spans="1:6" x14ac:dyDescent="0.25">
      <c r="A15" s="250"/>
      <c r="B15" s="245" t="s">
        <v>185</v>
      </c>
      <c r="C15" s="254">
        <f>SUM(C12:C14)</f>
        <v>55895.41</v>
      </c>
      <c r="D15" s="142" t="str">
        <f>IF(C15="","Error!", IF(C15=0, "Error!", ""))</f>
        <v/>
      </c>
    </row>
    <row r="16" spans="1:6" ht="16.5" thickBot="1" x14ac:dyDescent="0.3">
      <c r="A16" s="235"/>
      <c r="B16" s="152"/>
      <c r="C16" s="145"/>
      <c r="D16" s="153"/>
    </row>
    <row r="17" spans="1:4" x14ac:dyDescent="0.25">
      <c r="A17" s="237" t="s">
        <v>181</v>
      </c>
      <c r="B17" s="372" t="s">
        <v>209</v>
      </c>
      <c r="C17" s="373" t="s">
        <v>179</v>
      </c>
    </row>
    <row r="18" spans="1:4" x14ac:dyDescent="0.25">
      <c r="A18" s="238">
        <v>1</v>
      </c>
      <c r="B18" s="246" t="s">
        <v>210</v>
      </c>
      <c r="C18" s="234"/>
    </row>
    <row r="19" spans="1:4" x14ac:dyDescent="0.25">
      <c r="A19" s="238">
        <v>2</v>
      </c>
      <c r="B19" s="246" t="s">
        <v>211</v>
      </c>
      <c r="C19" s="234"/>
    </row>
    <row r="20" spans="1:4" x14ac:dyDescent="0.25">
      <c r="A20" s="238">
        <v>3</v>
      </c>
      <c r="B20" s="246" t="s">
        <v>184</v>
      </c>
      <c r="C20" s="234"/>
    </row>
    <row r="21" spans="1:4" ht="15.75" thickBot="1" x14ac:dyDescent="0.3">
      <c r="A21" s="239"/>
      <c r="B21" s="252" t="s">
        <v>180</v>
      </c>
      <c r="C21" s="253">
        <f>C18+C19+C20</f>
        <v>0</v>
      </c>
    </row>
    <row r="22" spans="1:4" ht="15.75" thickBot="1" x14ac:dyDescent="0.3">
      <c r="A22" s="240"/>
      <c r="B22" s="228"/>
      <c r="C22" s="229"/>
    </row>
    <row r="23" spans="1:4" x14ac:dyDescent="0.25">
      <c r="A23" s="241" t="s">
        <v>182</v>
      </c>
      <c r="B23" s="372" t="s">
        <v>183</v>
      </c>
      <c r="C23" s="373" t="s">
        <v>179</v>
      </c>
    </row>
    <row r="24" spans="1:4" x14ac:dyDescent="0.25">
      <c r="A24" s="242">
        <v>1</v>
      </c>
      <c r="B24" s="246" t="s">
        <v>206</v>
      </c>
      <c r="C24" s="234"/>
    </row>
    <row r="25" spans="1:4" x14ac:dyDescent="0.25">
      <c r="A25" s="242">
        <v>2</v>
      </c>
      <c r="B25" s="246" t="s">
        <v>207</v>
      </c>
      <c r="C25" s="234"/>
    </row>
    <row r="26" spans="1:4" x14ac:dyDescent="0.25">
      <c r="A26" s="242">
        <v>3</v>
      </c>
      <c r="B26" s="246" t="s">
        <v>286</v>
      </c>
      <c r="C26" s="234"/>
    </row>
    <row r="27" spans="1:4" x14ac:dyDescent="0.25">
      <c r="A27" s="242">
        <v>4</v>
      </c>
      <c r="B27" s="246" t="s">
        <v>184</v>
      </c>
      <c r="C27" s="234"/>
    </row>
    <row r="28" spans="1:4" ht="15.75" thickBot="1" x14ac:dyDescent="0.3">
      <c r="A28" s="243"/>
      <c r="B28" s="252" t="s">
        <v>180</v>
      </c>
      <c r="C28" s="253">
        <f>C24+C25+C27</f>
        <v>0</v>
      </c>
    </row>
    <row r="29" spans="1:4" ht="15.75" thickBot="1" x14ac:dyDescent="0.3">
      <c r="A29" s="240"/>
      <c r="B29" s="228"/>
      <c r="C29" s="228"/>
      <c r="D29" s="230"/>
    </row>
    <row r="30" spans="1:4" x14ac:dyDescent="0.25">
      <c r="A30" s="241" t="s">
        <v>246</v>
      </c>
      <c r="B30" s="372" t="s">
        <v>256</v>
      </c>
      <c r="C30" s="409"/>
      <c r="D30" s="413"/>
    </row>
    <row r="31" spans="1:4" x14ac:dyDescent="0.25">
      <c r="A31" s="410" t="s">
        <v>178</v>
      </c>
      <c r="B31" s="247" t="s">
        <v>212</v>
      </c>
      <c r="C31" s="411" t="s">
        <v>179</v>
      </c>
      <c r="D31" s="414" t="s">
        <v>213</v>
      </c>
    </row>
    <row r="32" spans="1:4" x14ac:dyDescent="0.25">
      <c r="A32" s="410">
        <v>1</v>
      </c>
      <c r="B32" s="248" t="s">
        <v>429</v>
      </c>
      <c r="C32" s="234">
        <v>55895.41</v>
      </c>
      <c r="D32" s="414" t="s">
        <v>473</v>
      </c>
    </row>
    <row r="33" spans="1:4" x14ac:dyDescent="0.25">
      <c r="A33" s="410">
        <v>2</v>
      </c>
      <c r="B33" s="248"/>
      <c r="C33" s="234"/>
      <c r="D33" s="414"/>
    </row>
    <row r="34" spans="1:4" x14ac:dyDescent="0.25">
      <c r="A34" s="410">
        <v>3</v>
      </c>
      <c r="B34" s="248"/>
      <c r="C34" s="234"/>
      <c r="D34" s="414"/>
    </row>
    <row r="35" spans="1:4" x14ac:dyDescent="0.25">
      <c r="A35" s="410">
        <v>4</v>
      </c>
      <c r="B35" s="248"/>
      <c r="C35" s="234"/>
      <c r="D35" s="414"/>
    </row>
    <row r="36" spans="1:4" x14ac:dyDescent="0.25">
      <c r="A36" s="410">
        <v>5</v>
      </c>
      <c r="B36" s="248"/>
      <c r="C36" s="234"/>
      <c r="D36" s="414"/>
    </row>
    <row r="37" spans="1:4" x14ac:dyDescent="0.25">
      <c r="A37" s="410">
        <v>6</v>
      </c>
      <c r="B37" s="248"/>
      <c r="C37" s="234"/>
      <c r="D37" s="415"/>
    </row>
    <row r="38" spans="1:4" x14ac:dyDescent="0.25">
      <c r="A38" s="410">
        <v>7</v>
      </c>
      <c r="B38" s="248"/>
      <c r="C38" s="234"/>
      <c r="D38" s="414"/>
    </row>
    <row r="39" spans="1:4" x14ac:dyDescent="0.25">
      <c r="A39" s="410">
        <v>8</v>
      </c>
      <c r="B39" s="248"/>
      <c r="C39" s="234"/>
      <c r="D39" s="414"/>
    </row>
    <row r="40" spans="1:4" x14ac:dyDescent="0.25">
      <c r="A40" s="412">
        <v>9</v>
      </c>
      <c r="B40" s="249"/>
      <c r="C40" s="234"/>
      <c r="D40" s="414"/>
    </row>
    <row r="41" spans="1:4" x14ac:dyDescent="0.25">
      <c r="A41" s="412">
        <v>10</v>
      </c>
      <c r="B41" s="249"/>
      <c r="C41" s="234"/>
      <c r="D41" s="414"/>
    </row>
    <row r="42" spans="1:4" x14ac:dyDescent="0.25">
      <c r="A42" s="412">
        <v>11</v>
      </c>
      <c r="B42" s="249"/>
      <c r="C42" s="234"/>
      <c r="D42" s="414"/>
    </row>
    <row r="43" spans="1:4" ht="15.75" thickBot="1" x14ac:dyDescent="0.3">
      <c r="A43" s="243"/>
      <c r="B43" s="252" t="s">
        <v>180</v>
      </c>
      <c r="C43" s="253">
        <f>+SUM(C31:C42)</f>
        <v>55895.41</v>
      </c>
      <c r="D43" s="416"/>
    </row>
    <row r="44" spans="1:4" x14ac:dyDescent="0.25">
      <c r="A44" s="231"/>
      <c r="B44" s="232"/>
      <c r="C44" s="232"/>
      <c r="D44" s="233"/>
    </row>
    <row r="45" spans="1:4" s="226" customFormat="1" x14ac:dyDescent="0.25">
      <c r="A45" s="231"/>
      <c r="B45" s="232"/>
      <c r="C45" s="232"/>
      <c r="D45" s="233"/>
    </row>
    <row r="46" spans="1:4" s="226" customFormat="1" x14ac:dyDescent="0.25">
      <c r="A46" s="231"/>
      <c r="B46" s="232"/>
      <c r="C46" s="232"/>
      <c r="D46" s="233"/>
    </row>
    <row r="47" spans="1:4" s="226" customFormat="1" x14ac:dyDescent="0.25"/>
    <row r="48" spans="1:4" s="226" customFormat="1" x14ac:dyDescent="0.25"/>
    <row r="49" s="226" customFormat="1" x14ac:dyDescent="0.25"/>
    <row r="50" s="226" customFormat="1" x14ac:dyDescent="0.25"/>
    <row r="51" s="226" customFormat="1" x14ac:dyDescent="0.25"/>
    <row r="52" s="226" customFormat="1" x14ac:dyDescent="0.25"/>
    <row r="53" s="226" customFormat="1" x14ac:dyDescent="0.25"/>
    <row r="54" s="226" customFormat="1" x14ac:dyDescent="0.25"/>
    <row r="55" s="226" customFormat="1" x14ac:dyDescent="0.25"/>
    <row r="56" s="226" customFormat="1" x14ac:dyDescent="0.25"/>
    <row r="57" s="226" customFormat="1" x14ac:dyDescent="0.25"/>
    <row r="58" s="226" customFormat="1" x14ac:dyDescent="0.25"/>
    <row r="59" s="226" customFormat="1" x14ac:dyDescent="0.25"/>
    <row r="60" s="226" customFormat="1" x14ac:dyDescent="0.25"/>
    <row r="61" s="226" customFormat="1" x14ac:dyDescent="0.25"/>
    <row r="62" s="226" customFormat="1" x14ac:dyDescent="0.25"/>
    <row r="63" s="226" customFormat="1" x14ac:dyDescent="0.25"/>
    <row r="64" s="226" customFormat="1" x14ac:dyDescent="0.25"/>
    <row r="65" s="226" customFormat="1" x14ac:dyDescent="0.25"/>
    <row r="66" s="226" customFormat="1" x14ac:dyDescent="0.25"/>
    <row r="67" s="226" customFormat="1" x14ac:dyDescent="0.25"/>
    <row r="68" s="226" customFormat="1" x14ac:dyDescent="0.25"/>
    <row r="69" s="226" customFormat="1" x14ac:dyDescent="0.25"/>
    <row r="70" s="226" customFormat="1" x14ac:dyDescent="0.25"/>
    <row r="71" s="226" customFormat="1" x14ac:dyDescent="0.25"/>
    <row r="72" s="226" customFormat="1" x14ac:dyDescent="0.25"/>
    <row r="73" s="226" customFormat="1" x14ac:dyDescent="0.25"/>
    <row r="74" s="226" customFormat="1" x14ac:dyDescent="0.25"/>
    <row r="75" s="226" customFormat="1" x14ac:dyDescent="0.25"/>
    <row r="76" s="226" customFormat="1" x14ac:dyDescent="0.25"/>
    <row r="77" s="226" customFormat="1" x14ac:dyDescent="0.25"/>
    <row r="78" s="226" customFormat="1" x14ac:dyDescent="0.25"/>
    <row r="79" s="226" customFormat="1" x14ac:dyDescent="0.25"/>
    <row r="80" s="226" customFormat="1" x14ac:dyDescent="0.25"/>
    <row r="81" s="226" customFormat="1" x14ac:dyDescent="0.25"/>
    <row r="82" s="226" customFormat="1" x14ac:dyDescent="0.25"/>
    <row r="83" s="226" customFormat="1" x14ac:dyDescent="0.25"/>
    <row r="84" s="226" customFormat="1" x14ac:dyDescent="0.25"/>
    <row r="85" s="226" customFormat="1" x14ac:dyDescent="0.25"/>
    <row r="86" s="226" customFormat="1" x14ac:dyDescent="0.25"/>
    <row r="87" s="226" customFormat="1" x14ac:dyDescent="0.25"/>
    <row r="88" s="226" customFormat="1" x14ac:dyDescent="0.25"/>
    <row r="89" s="226" customFormat="1" x14ac:dyDescent="0.25"/>
    <row r="90" s="226" customFormat="1" x14ac:dyDescent="0.25"/>
    <row r="91" s="226" customFormat="1" x14ac:dyDescent="0.25"/>
    <row r="92" s="226" customFormat="1" x14ac:dyDescent="0.25"/>
    <row r="93" s="226" customFormat="1" x14ac:dyDescent="0.25"/>
    <row r="94" s="226" customFormat="1" x14ac:dyDescent="0.25"/>
    <row r="95" s="226" customFormat="1" x14ac:dyDescent="0.25"/>
    <row r="96" s="226" customFormat="1" x14ac:dyDescent="0.25"/>
    <row r="97" s="226" customFormat="1" x14ac:dyDescent="0.25"/>
    <row r="98" s="226" customFormat="1" x14ac:dyDescent="0.25"/>
    <row r="99" s="226" customFormat="1" x14ac:dyDescent="0.25"/>
    <row r="100" s="226" customFormat="1" x14ac:dyDescent="0.25"/>
    <row r="101" s="226" customFormat="1" x14ac:dyDescent="0.25"/>
    <row r="102" s="226" customFormat="1" x14ac:dyDescent="0.25"/>
    <row r="103" s="226" customFormat="1" x14ac:dyDescent="0.25"/>
    <row r="104" s="226" customFormat="1" x14ac:dyDescent="0.25"/>
    <row r="105" s="226" customFormat="1" x14ac:dyDescent="0.25"/>
    <row r="106" s="226" customFormat="1" x14ac:dyDescent="0.25"/>
    <row r="107" s="226" customFormat="1" x14ac:dyDescent="0.25"/>
    <row r="108" s="226" customFormat="1" x14ac:dyDescent="0.25"/>
    <row r="109" s="226" customFormat="1" x14ac:dyDescent="0.25"/>
    <row r="110" s="226" customFormat="1" x14ac:dyDescent="0.25"/>
    <row r="111" s="226" customFormat="1" x14ac:dyDescent="0.25"/>
    <row r="112" s="226" customFormat="1" x14ac:dyDescent="0.25"/>
    <row r="113" s="226" customFormat="1" x14ac:dyDescent="0.25"/>
    <row r="114" s="226" customFormat="1" x14ac:dyDescent="0.25"/>
    <row r="115" s="226" customFormat="1" x14ac:dyDescent="0.25"/>
    <row r="116" s="226" customFormat="1" x14ac:dyDescent="0.25"/>
    <row r="117" s="226" customFormat="1" x14ac:dyDescent="0.25"/>
    <row r="118" s="226" customFormat="1" x14ac:dyDescent="0.25"/>
    <row r="119" s="226" customFormat="1" x14ac:dyDescent="0.25"/>
    <row r="120" s="226" customFormat="1" x14ac:dyDescent="0.25"/>
    <row r="121" s="226" customFormat="1" x14ac:dyDescent="0.25"/>
    <row r="122" s="226" customFormat="1" x14ac:dyDescent="0.25"/>
    <row r="123" s="226" customFormat="1" x14ac:dyDescent="0.25"/>
    <row r="124" s="226" customFormat="1" x14ac:dyDescent="0.25"/>
    <row r="125" s="226" customFormat="1" x14ac:dyDescent="0.25"/>
    <row r="126" s="226" customFormat="1" x14ac:dyDescent="0.25"/>
    <row r="127" s="226" customFormat="1" x14ac:dyDescent="0.25"/>
    <row r="128" s="226" customFormat="1" x14ac:dyDescent="0.25"/>
    <row r="129" s="226" customFormat="1" x14ac:dyDescent="0.25"/>
    <row r="130" s="226" customFormat="1" x14ac:dyDescent="0.25"/>
    <row r="131" s="226" customFormat="1" x14ac:dyDescent="0.25"/>
    <row r="132" s="226" customFormat="1" x14ac:dyDescent="0.25"/>
    <row r="133" s="226" customFormat="1" x14ac:dyDescent="0.25"/>
    <row r="134" s="226" customFormat="1" x14ac:dyDescent="0.25"/>
    <row r="135" s="226" customFormat="1" x14ac:dyDescent="0.25"/>
    <row r="136" s="226" customFormat="1" x14ac:dyDescent="0.25"/>
    <row r="137" s="226" customFormat="1" x14ac:dyDescent="0.25"/>
    <row r="138" s="226" customFormat="1" x14ac:dyDescent="0.25"/>
    <row r="139" s="226" customFormat="1" x14ac:dyDescent="0.25"/>
    <row r="140" s="226" customFormat="1" x14ac:dyDescent="0.25"/>
    <row r="141" s="226" customFormat="1" x14ac:dyDescent="0.25"/>
  </sheetData>
  <sheetProtection algorithmName="SHA-512" hashValue="GavpQXjCcO3G6aTdwhXLjcJFysNjgtEzU7khTfKY7EuGxlo4/UMMMrR0zKt+qrCWxtoTAA4I+dhA6F2Ofd3ytA==" saltValue="CjKCEuLcagjWXRhLYxOMcA==" spinCount="100000" sheet="1" selectLockedCells="1"/>
  <mergeCells count="2">
    <mergeCell ref="A1:D1"/>
    <mergeCell ref="A2:D2"/>
  </mergeCells>
  <dataValidations xWindow="602" yWindow="548" count="7">
    <dataValidation type="decimal" operator="greaterThanOrEqual" allowBlank="1" showInputMessage="1" showErrorMessage="1" sqref="C29:D29 C28 C21:C22 C43:D43" xr:uid="{00000000-0002-0000-0500-000000000000}">
      <formula1>0</formula1>
    </dataValidation>
    <dataValidation allowBlank="1" showInputMessage="1" showErrorMessage="1" prompt="Please select code representing validation type of report (&quot;MLAG-PR-UA&quot; is for performance report unaudited - mainly quarterly; &quot;MLAG-PR-A&quot; is for performance report audited - mainly annual)" sqref="C6" xr:uid="{00000000-0002-0000-0500-000001000000}"/>
    <dataValidation allowBlank="1" showInputMessage="1" showErrorMessage="1" prompt="Please state Month/Year ending the reporting period (e.g. 12/2014 for quarter ending December 2014)" sqref="C8" xr:uid="{00000000-0002-0000-0500-000002000000}"/>
    <dataValidation allowBlank="1" showInputMessage="1" showErrorMessage="1" prompt="Please state the period covered by the report (e.g. October-December 2014 for quarter ending December 2014)." sqref="C7" xr:uid="{00000000-0002-0000-0500-000003000000}"/>
    <dataValidation allowBlank="1" showInputMessage="1" showErrorMessage="1" prompt="Please input the MCAG membership ID given to you by MCAG here." sqref="C5" xr:uid="{00000000-0002-0000-0500-000004000000}"/>
    <dataValidation allowBlank="1" showInputMessage="1" showErrorMessage="1" prompt="Please input your registered business name as appears on your BoG License" sqref="C4" xr:uid="{00000000-0002-0000-0500-000005000000}"/>
    <dataValidation type="custom" operator="greaterThanOrEqual" allowBlank="1" showInputMessage="1" showErrorMessage="1" error="Please enter a valid amount to proceed" prompt="Please make sure that your input is an amount value" sqref="C18:C20 C24:C27 C32:C42" xr:uid="{00000000-0002-0000-0500-000006000000}">
      <formula1>ISNUMBER(C18)</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50"/>
  <sheetViews>
    <sheetView showGridLines="0" topLeftCell="A4" zoomScaleNormal="100" workbookViewId="0">
      <selection activeCell="D19" sqref="D19"/>
    </sheetView>
  </sheetViews>
  <sheetFormatPr defaultColWidth="8.7109375" defaultRowHeight="15" x14ac:dyDescent="0.25"/>
  <cols>
    <col min="1" max="1" width="12.28515625" bestFit="1" customWidth="1"/>
    <col min="2" max="2" width="33.7109375" customWidth="1"/>
    <col min="3" max="3" width="18.7109375" customWidth="1"/>
    <col min="4" max="6" width="18.5703125" customWidth="1"/>
    <col min="7" max="7" width="21.28515625" bestFit="1" customWidth="1"/>
    <col min="8" max="8" width="8.7109375" style="113"/>
    <col min="9" max="9" width="12.42578125" style="113" bestFit="1" customWidth="1"/>
    <col min="10" max="28" width="8.7109375" style="113"/>
  </cols>
  <sheetData>
    <row r="1" spans="1:28" s="14" customFormat="1" ht="18.75" x14ac:dyDescent="0.25">
      <c r="A1" s="425" t="str">
        <f>'Cover Sheet'!A1:D1</f>
        <v xml:space="preserve">GHANA CO-OPERATIVE SUSU COLLECTORS ASSOCIATION </v>
      </c>
      <c r="B1" s="425"/>
      <c r="C1" s="425"/>
      <c r="D1" s="425"/>
      <c r="E1" s="165">
        <f>SUM(D4:D10)</f>
        <v>0</v>
      </c>
      <c r="F1" s="166" t="str">
        <f>IF(SUM(D4:D10)&gt;0, "Error!", "")</f>
        <v/>
      </c>
      <c r="G1" s="158"/>
      <c r="H1" s="155"/>
    </row>
    <row r="2" spans="1:28" s="14" customFormat="1" ht="18.75" x14ac:dyDescent="0.25">
      <c r="A2" s="425" t="s">
        <v>8</v>
      </c>
      <c r="B2" s="425"/>
      <c r="C2" s="425"/>
      <c r="D2" s="425"/>
      <c r="E2" s="154"/>
      <c r="F2" s="154"/>
    </row>
    <row r="3" spans="1:28" s="13" customFormat="1" ht="15.75" x14ac:dyDescent="0.25">
      <c r="A3" s="15"/>
      <c r="B3" s="10"/>
      <c r="C3" s="8"/>
      <c r="D3" s="11"/>
      <c r="E3" s="11"/>
      <c r="F3" s="11"/>
    </row>
    <row r="4" spans="1:28" s="16" customFormat="1" ht="15.75" x14ac:dyDescent="0.25">
      <c r="B4" s="17" t="s">
        <v>9</v>
      </c>
      <c r="C4" s="23" t="str">
        <f>IF('Cover Sheet'!C4="", "", 'Cover Sheet'!C4)</f>
        <v>QUICK RETURNS SUSU ENTERPRISE</v>
      </c>
      <c r="D4" s="18">
        <f>IF(C4="",1,IF(ISTEXT(C4),0,1))+IF(OR(ISNUMBER(LEFT(C4)),LEFT(C4)=" "),1,0)</f>
        <v>0</v>
      </c>
      <c r="E4" s="18"/>
      <c r="F4" s="18"/>
    </row>
    <row r="5" spans="1:28" s="16" customFormat="1" ht="15.75" x14ac:dyDescent="0.25">
      <c r="B5" s="17" t="s">
        <v>10</v>
      </c>
      <c r="C5" s="50" t="str">
        <f>IF('Cover Sheet'!C5="", "", 'Cover Sheet'!C5)</f>
        <v xml:space="preserve">
GCSCA-GT-0-0000288</v>
      </c>
      <c r="D5" s="18">
        <f>IF(C5="",1,IF(ISTEXT(C5),0,1))+IF(OR(ISNUMBER(LEFT(C5)),LEFT(C5)=" "),1,0)</f>
        <v>0</v>
      </c>
      <c r="E5" s="18"/>
      <c r="F5" s="18"/>
    </row>
    <row r="6" spans="1:28" s="19" customFormat="1" ht="15.75" x14ac:dyDescent="0.25">
      <c r="B6" s="17" t="s">
        <v>11</v>
      </c>
      <c r="C6" s="134" t="str">
        <f>IF('Cover Sheet'!C6="", "", 'Cover Sheet'!C6)</f>
        <v xml:space="preserve">GCSCA-PR-UA </v>
      </c>
      <c r="D6" s="18">
        <f>IF(C6="",1,IF(ISTEXT(C6),0,1))</f>
        <v>0</v>
      </c>
      <c r="E6" s="18"/>
      <c r="F6" s="18"/>
    </row>
    <row r="7" spans="1:28" s="16" customFormat="1" ht="15.75" x14ac:dyDescent="0.25">
      <c r="B7" s="17" t="s">
        <v>12</v>
      </c>
      <c r="C7" s="50" t="str">
        <f>'Cash and Bank Notes'!C7</f>
        <v>JUNE</v>
      </c>
      <c r="D7" s="18">
        <f>IF(C7="",1,IF(ISTEXT(C7),0,1))</f>
        <v>0</v>
      </c>
      <c r="E7" s="18"/>
      <c r="F7" s="18"/>
    </row>
    <row r="8" spans="1:28" s="19" customFormat="1" ht="15.75" x14ac:dyDescent="0.25">
      <c r="B8" s="17" t="s">
        <v>13</v>
      </c>
      <c r="C8" s="133" t="str">
        <f>'Cover Sheet'!C9</f>
        <v>July 2026</v>
      </c>
      <c r="D8" s="18">
        <f>IF(C8="",1, 0)</f>
        <v>0</v>
      </c>
      <c r="E8" s="18"/>
      <c r="F8" s="18"/>
    </row>
    <row r="9" spans="1:28" s="21" customFormat="1" ht="15.75" x14ac:dyDescent="0.25">
      <c r="A9" s="20"/>
      <c r="B9" s="17" t="s">
        <v>14</v>
      </c>
      <c r="C9" s="135" t="str">
        <f>IF('Cover Sheet'!C7="", "", 'Cover Sheet'!C7)</f>
        <v>2026</v>
      </c>
      <c r="D9" s="18">
        <f>IF(C9="",1, 0)</f>
        <v>0</v>
      </c>
      <c r="E9" s="18"/>
      <c r="F9" s="18"/>
    </row>
    <row r="10" spans="1:28" s="21" customFormat="1" ht="15.75" x14ac:dyDescent="0.25">
      <c r="A10" s="20"/>
      <c r="B10" s="17" t="s">
        <v>156</v>
      </c>
      <c r="C10" s="135" t="str">
        <f>IF('Cover Sheet'!C10="", "", 'Cover Sheet'!C10)</f>
        <v>Greater Accra-GA</v>
      </c>
      <c r="D10" s="22">
        <f>IF(C10="",1, 0)</f>
        <v>0</v>
      </c>
      <c r="E10" s="22"/>
      <c r="F10" s="22"/>
    </row>
    <row r="11" spans="1:28" s="21" customFormat="1" ht="15.75" x14ac:dyDescent="0.25">
      <c r="A11" s="20"/>
      <c r="B11" s="270"/>
      <c r="C11" s="163"/>
      <c r="D11" s="22"/>
      <c r="E11" s="22"/>
      <c r="F11" s="22"/>
    </row>
    <row r="12" spans="1:28" s="227" customFormat="1" x14ac:dyDescent="0.25">
      <c r="A12" s="374" t="s">
        <v>195</v>
      </c>
      <c r="B12" s="428" t="s">
        <v>220</v>
      </c>
      <c r="C12" s="428"/>
      <c r="D12" s="428"/>
      <c r="E12" s="428"/>
      <c r="F12" s="428"/>
      <c r="G12" s="428"/>
      <c r="H12" s="226"/>
      <c r="I12" s="226"/>
      <c r="J12" s="226"/>
      <c r="K12" s="226"/>
      <c r="L12" s="226"/>
      <c r="M12" s="226"/>
      <c r="N12" s="226"/>
      <c r="O12" s="226"/>
      <c r="P12" s="226"/>
      <c r="Q12" s="226"/>
      <c r="R12" s="226"/>
      <c r="S12" s="226"/>
      <c r="T12" s="226"/>
      <c r="U12" s="226"/>
      <c r="V12" s="226"/>
      <c r="W12" s="226"/>
      <c r="X12" s="226"/>
      <c r="Y12" s="226"/>
      <c r="Z12" s="226"/>
      <c r="AA12" s="226"/>
      <c r="AB12" s="226"/>
    </row>
    <row r="13" spans="1:28" s="227" customFormat="1" x14ac:dyDescent="0.25">
      <c r="A13" s="269" t="s">
        <v>181</v>
      </c>
      <c r="B13" s="256" t="s">
        <v>196</v>
      </c>
      <c r="C13" s="257" t="s">
        <v>215</v>
      </c>
      <c r="D13" s="258" t="s">
        <v>179</v>
      </c>
      <c r="E13" s="257" t="s">
        <v>216</v>
      </c>
      <c r="F13" s="257" t="s">
        <v>217</v>
      </c>
      <c r="G13" s="257" t="s">
        <v>287</v>
      </c>
      <c r="H13" s="226"/>
      <c r="I13" s="226"/>
      <c r="J13" s="226"/>
      <c r="K13" s="226"/>
      <c r="L13" s="226"/>
      <c r="M13" s="226"/>
      <c r="N13" s="226"/>
      <c r="O13" s="226"/>
      <c r="P13" s="226"/>
      <c r="Q13" s="226"/>
      <c r="R13" s="226"/>
      <c r="S13" s="226"/>
      <c r="T13" s="226"/>
      <c r="U13" s="226"/>
      <c r="V13" s="226"/>
      <c r="W13" s="226"/>
      <c r="X13" s="226"/>
      <c r="Y13" s="226"/>
      <c r="Z13" s="226"/>
      <c r="AA13" s="226"/>
      <c r="AB13" s="226"/>
    </row>
    <row r="14" spans="1:28" s="227" customFormat="1" x14ac:dyDescent="0.25">
      <c r="A14" s="430" t="s">
        <v>200</v>
      </c>
      <c r="B14" s="431"/>
      <c r="C14" s="432"/>
      <c r="D14" s="259">
        <f>SUM(D15:D25)</f>
        <v>3000</v>
      </c>
      <c r="E14" s="260"/>
      <c r="F14" s="260"/>
      <c r="G14" s="266"/>
      <c r="H14" s="226"/>
      <c r="I14" s="226"/>
      <c r="J14" s="226"/>
      <c r="K14" s="226"/>
      <c r="L14" s="226"/>
      <c r="M14" s="226"/>
      <c r="N14" s="226"/>
      <c r="O14" s="226"/>
      <c r="P14" s="226"/>
      <c r="Q14" s="226"/>
      <c r="R14" s="226"/>
      <c r="S14" s="226"/>
      <c r="T14" s="226"/>
      <c r="U14" s="226"/>
      <c r="V14" s="226"/>
      <c r="W14" s="226"/>
      <c r="X14" s="226"/>
      <c r="Y14" s="226"/>
      <c r="Z14" s="226"/>
      <c r="AA14" s="226"/>
      <c r="AB14" s="226"/>
    </row>
    <row r="15" spans="1:28" s="227" customFormat="1" x14ac:dyDescent="0.25">
      <c r="A15" s="174">
        <v>1</v>
      </c>
      <c r="B15" s="261" t="s">
        <v>429</v>
      </c>
      <c r="C15" s="262" t="s">
        <v>430</v>
      </c>
      <c r="D15" s="263">
        <v>3000</v>
      </c>
      <c r="E15" s="264"/>
      <c r="F15" s="264"/>
      <c r="G15" s="265"/>
      <c r="H15" s="226"/>
      <c r="I15" s="226"/>
      <c r="J15" s="226"/>
      <c r="K15" s="226"/>
      <c r="L15" s="226"/>
      <c r="M15" s="226"/>
      <c r="N15" s="226"/>
      <c r="O15" s="226"/>
      <c r="P15" s="226"/>
      <c r="Q15" s="226"/>
      <c r="R15" s="226"/>
      <c r="S15" s="226"/>
      <c r="T15" s="226"/>
      <c r="U15" s="226"/>
      <c r="V15" s="226"/>
      <c r="W15" s="226"/>
      <c r="X15" s="226"/>
      <c r="Y15" s="226"/>
      <c r="Z15" s="226"/>
      <c r="AA15" s="226"/>
      <c r="AB15" s="226"/>
    </row>
    <row r="16" spans="1:28" s="227" customFormat="1" x14ac:dyDescent="0.25">
      <c r="A16" s="174">
        <v>2</v>
      </c>
      <c r="B16" s="261"/>
      <c r="C16" s="262"/>
      <c r="D16" s="263"/>
      <c r="E16" s="264"/>
      <c r="F16" s="264"/>
      <c r="G16" s="265"/>
      <c r="H16" s="226"/>
      <c r="I16" s="226"/>
      <c r="J16" s="226"/>
      <c r="K16" s="226"/>
      <c r="L16" s="226"/>
      <c r="M16" s="226"/>
      <c r="N16" s="226"/>
      <c r="O16" s="226"/>
      <c r="P16" s="226"/>
      <c r="Q16" s="226"/>
      <c r="R16" s="226"/>
      <c r="S16" s="226"/>
      <c r="T16" s="226"/>
      <c r="U16" s="226"/>
      <c r="V16" s="226"/>
      <c r="W16" s="226"/>
      <c r="X16" s="226"/>
      <c r="Y16" s="226"/>
      <c r="Z16" s="226"/>
      <c r="AA16" s="226"/>
      <c r="AB16" s="226"/>
    </row>
    <row r="17" spans="1:28" s="227" customFormat="1" x14ac:dyDescent="0.25">
      <c r="A17" s="174">
        <v>3</v>
      </c>
      <c r="B17" s="261"/>
      <c r="C17" s="262"/>
      <c r="D17" s="263"/>
      <c r="E17" s="264"/>
      <c r="F17" s="264"/>
      <c r="G17" s="265"/>
      <c r="H17" s="226"/>
      <c r="I17" s="226"/>
      <c r="J17" s="226"/>
      <c r="K17" s="226"/>
      <c r="L17" s="226"/>
      <c r="M17" s="226"/>
      <c r="N17" s="226"/>
      <c r="O17" s="226"/>
      <c r="P17" s="226"/>
      <c r="Q17" s="226"/>
      <c r="R17" s="226"/>
      <c r="S17" s="226"/>
      <c r="T17" s="226"/>
      <c r="U17" s="226"/>
      <c r="V17" s="226"/>
      <c r="W17" s="226"/>
      <c r="X17" s="226"/>
      <c r="Y17" s="226"/>
      <c r="Z17" s="226"/>
      <c r="AA17" s="226"/>
      <c r="AB17" s="226"/>
    </row>
    <row r="18" spans="1:28" s="227" customFormat="1" x14ac:dyDescent="0.25">
      <c r="A18" s="174">
        <v>4</v>
      </c>
      <c r="B18" s="261"/>
      <c r="C18" s="262"/>
      <c r="D18" s="263"/>
      <c r="E18" s="264"/>
      <c r="F18" s="264"/>
      <c r="G18" s="265"/>
      <c r="H18" s="226"/>
      <c r="I18" s="226"/>
      <c r="J18" s="226"/>
      <c r="K18" s="226"/>
      <c r="L18" s="226"/>
      <c r="M18" s="226"/>
      <c r="N18" s="226"/>
      <c r="O18" s="226"/>
      <c r="P18" s="226"/>
      <c r="Q18" s="226"/>
      <c r="R18" s="226"/>
      <c r="S18" s="226"/>
      <c r="T18" s="226"/>
      <c r="U18" s="226"/>
      <c r="V18" s="226"/>
      <c r="W18" s="226"/>
      <c r="X18" s="226"/>
      <c r="Y18" s="226"/>
      <c r="Z18" s="226"/>
      <c r="AA18" s="226"/>
      <c r="AB18" s="226"/>
    </row>
    <row r="19" spans="1:28" s="227" customFormat="1" x14ac:dyDescent="0.25">
      <c r="A19" s="174">
        <v>5</v>
      </c>
      <c r="B19" s="261"/>
      <c r="C19" s="262"/>
      <c r="D19" s="263"/>
      <c r="E19" s="264"/>
      <c r="F19" s="264"/>
      <c r="G19" s="265"/>
      <c r="H19" s="226"/>
      <c r="I19" s="226"/>
      <c r="J19" s="226"/>
      <c r="K19" s="226"/>
      <c r="L19" s="226"/>
      <c r="M19" s="226"/>
      <c r="N19" s="226"/>
      <c r="O19" s="226"/>
      <c r="P19" s="226"/>
      <c r="Q19" s="226"/>
      <c r="R19" s="226"/>
      <c r="S19" s="226"/>
      <c r="T19" s="226"/>
      <c r="U19" s="226"/>
      <c r="V19" s="226"/>
      <c r="W19" s="226"/>
      <c r="X19" s="226"/>
      <c r="Y19" s="226"/>
      <c r="Z19" s="226"/>
      <c r="AA19" s="226"/>
      <c r="AB19" s="226"/>
    </row>
    <row r="20" spans="1:28" s="227" customFormat="1" x14ac:dyDescent="0.25">
      <c r="A20" s="174">
        <v>6</v>
      </c>
      <c r="B20" s="261"/>
      <c r="C20" s="262"/>
      <c r="D20" s="263"/>
      <c r="E20" s="264"/>
      <c r="F20" s="264"/>
      <c r="G20" s="265"/>
      <c r="H20" s="226"/>
      <c r="I20" s="268"/>
      <c r="J20" s="226"/>
      <c r="K20" s="226"/>
      <c r="L20" s="226"/>
      <c r="M20" s="226"/>
      <c r="N20" s="226"/>
      <c r="O20" s="226"/>
      <c r="P20" s="226"/>
      <c r="Q20" s="226"/>
      <c r="R20" s="226"/>
      <c r="S20" s="226"/>
      <c r="T20" s="226"/>
      <c r="U20" s="226"/>
      <c r="V20" s="226"/>
      <c r="W20" s="226"/>
      <c r="X20" s="226"/>
      <c r="Y20" s="226"/>
      <c r="Z20" s="226"/>
      <c r="AA20" s="226"/>
      <c r="AB20" s="226"/>
    </row>
    <row r="21" spans="1:28" s="227" customFormat="1" x14ac:dyDescent="0.25">
      <c r="A21" s="174">
        <v>7</v>
      </c>
      <c r="B21" s="261"/>
      <c r="C21" s="262"/>
      <c r="D21" s="263"/>
      <c r="E21" s="264"/>
      <c r="F21" s="264"/>
      <c r="G21" s="265"/>
      <c r="H21" s="226"/>
      <c r="I21" s="226"/>
      <c r="J21" s="226"/>
      <c r="K21" s="226"/>
      <c r="L21" s="226"/>
      <c r="M21" s="226"/>
      <c r="N21" s="226"/>
      <c r="O21" s="226"/>
      <c r="P21" s="226"/>
      <c r="Q21" s="226"/>
      <c r="R21" s="226"/>
      <c r="S21" s="226"/>
      <c r="T21" s="226"/>
      <c r="U21" s="226"/>
      <c r="V21" s="226"/>
      <c r="W21" s="226"/>
      <c r="X21" s="226"/>
      <c r="Y21" s="226"/>
      <c r="Z21" s="226"/>
      <c r="AA21" s="226"/>
      <c r="AB21" s="226"/>
    </row>
    <row r="22" spans="1:28" s="227" customFormat="1" x14ac:dyDescent="0.25">
      <c r="A22" s="174">
        <v>8</v>
      </c>
      <c r="B22" s="261"/>
      <c r="C22" s="262"/>
      <c r="D22" s="263"/>
      <c r="E22" s="264"/>
      <c r="F22" s="264"/>
      <c r="G22" s="265"/>
      <c r="H22" s="226"/>
      <c r="I22" s="226"/>
      <c r="J22" s="226"/>
      <c r="K22" s="226"/>
      <c r="L22" s="226"/>
      <c r="M22" s="226"/>
      <c r="N22" s="226"/>
      <c r="O22" s="226"/>
      <c r="P22" s="226"/>
      <c r="Q22" s="226"/>
      <c r="R22" s="226"/>
      <c r="S22" s="226"/>
      <c r="T22" s="226"/>
      <c r="U22" s="226"/>
      <c r="V22" s="226"/>
      <c r="W22" s="226"/>
      <c r="X22" s="226"/>
      <c r="Y22" s="226"/>
      <c r="Z22" s="226"/>
      <c r="AA22" s="226"/>
      <c r="AB22" s="226"/>
    </row>
    <row r="23" spans="1:28" s="227" customFormat="1" x14ac:dyDescent="0.25">
      <c r="A23" s="174">
        <v>9</v>
      </c>
      <c r="B23" s="261"/>
      <c r="C23" s="262"/>
      <c r="D23" s="263"/>
      <c r="E23" s="264"/>
      <c r="F23" s="264"/>
      <c r="G23" s="265"/>
      <c r="H23" s="226"/>
      <c r="I23" s="226"/>
      <c r="J23" s="226"/>
      <c r="K23" s="226"/>
      <c r="L23" s="226"/>
      <c r="M23" s="226"/>
      <c r="N23" s="226"/>
      <c r="O23" s="226"/>
      <c r="P23" s="226"/>
      <c r="Q23" s="226"/>
      <c r="R23" s="226"/>
      <c r="S23" s="226"/>
      <c r="T23" s="226"/>
      <c r="U23" s="226"/>
      <c r="V23" s="226"/>
      <c r="W23" s="226"/>
      <c r="X23" s="226"/>
      <c r="Y23" s="226"/>
      <c r="Z23" s="226"/>
      <c r="AA23" s="226"/>
      <c r="AB23" s="226"/>
    </row>
    <row r="24" spans="1:28" s="227" customFormat="1" x14ac:dyDescent="0.25">
      <c r="A24" s="174">
        <v>10</v>
      </c>
      <c r="B24" s="261"/>
      <c r="C24" s="262"/>
      <c r="D24" s="263"/>
      <c r="E24" s="264"/>
      <c r="F24" s="264"/>
      <c r="G24" s="265"/>
      <c r="H24" s="226"/>
      <c r="I24" s="226"/>
      <c r="J24" s="226"/>
      <c r="K24" s="226"/>
      <c r="L24" s="226"/>
      <c r="M24" s="226"/>
      <c r="N24" s="226"/>
      <c r="O24" s="226"/>
      <c r="P24" s="226"/>
      <c r="Q24" s="226"/>
      <c r="R24" s="226"/>
      <c r="S24" s="226"/>
      <c r="T24" s="226"/>
      <c r="U24" s="226"/>
      <c r="V24" s="226"/>
      <c r="W24" s="226"/>
      <c r="X24" s="226"/>
      <c r="Y24" s="226"/>
      <c r="Z24" s="226"/>
      <c r="AA24" s="226"/>
      <c r="AB24" s="226"/>
    </row>
    <row r="25" spans="1:28" s="227" customFormat="1" x14ac:dyDescent="0.25">
      <c r="A25" s="174">
        <v>11</v>
      </c>
      <c r="B25" s="261"/>
      <c r="C25" s="262"/>
      <c r="D25" s="263"/>
      <c r="E25" s="264"/>
      <c r="F25" s="264"/>
      <c r="G25" s="265"/>
      <c r="H25" s="226"/>
      <c r="I25" s="226"/>
      <c r="J25" s="226"/>
      <c r="K25" s="226"/>
      <c r="L25" s="226"/>
      <c r="M25" s="226"/>
      <c r="N25" s="226"/>
      <c r="O25" s="226"/>
      <c r="P25" s="226"/>
      <c r="Q25" s="226"/>
      <c r="R25" s="226"/>
      <c r="S25" s="226"/>
      <c r="T25" s="226"/>
      <c r="U25" s="226"/>
      <c r="V25" s="226"/>
      <c r="W25" s="226"/>
      <c r="X25" s="226"/>
      <c r="Y25" s="226"/>
      <c r="Z25" s="226"/>
      <c r="AA25" s="226"/>
      <c r="AB25" s="226"/>
    </row>
    <row r="26" spans="1:28" s="227" customFormat="1" x14ac:dyDescent="0.25">
      <c r="H26" s="226"/>
      <c r="I26" s="226"/>
      <c r="J26" s="226"/>
      <c r="K26" s="226"/>
      <c r="L26" s="226"/>
      <c r="M26" s="226"/>
      <c r="N26" s="226"/>
      <c r="O26" s="226"/>
      <c r="P26" s="226"/>
      <c r="Q26" s="226"/>
      <c r="R26" s="226"/>
      <c r="S26" s="226"/>
      <c r="T26" s="226"/>
      <c r="U26" s="226"/>
      <c r="V26" s="226"/>
      <c r="W26" s="226"/>
      <c r="X26" s="226"/>
      <c r="Y26" s="226"/>
      <c r="Z26" s="226"/>
      <c r="AA26" s="226"/>
      <c r="AB26" s="226"/>
    </row>
    <row r="27" spans="1:28" s="227" customFormat="1" x14ac:dyDescent="0.25">
      <c r="A27" s="271" t="s">
        <v>195</v>
      </c>
      <c r="B27" s="429" t="s">
        <v>221</v>
      </c>
      <c r="C27" s="429"/>
      <c r="D27" s="429"/>
      <c r="E27" s="429"/>
      <c r="F27" s="429"/>
      <c r="G27" s="429"/>
      <c r="H27" s="226"/>
      <c r="I27" s="226"/>
      <c r="J27" s="226"/>
      <c r="K27" s="226"/>
      <c r="L27" s="226"/>
      <c r="M27" s="226"/>
      <c r="N27" s="226"/>
      <c r="O27" s="226"/>
      <c r="P27" s="226"/>
      <c r="Q27" s="226"/>
      <c r="R27" s="226"/>
      <c r="S27" s="226"/>
      <c r="T27" s="226"/>
      <c r="U27" s="226"/>
      <c r="V27" s="226"/>
      <c r="W27" s="226"/>
      <c r="X27" s="226"/>
      <c r="Y27" s="226"/>
      <c r="Z27" s="226"/>
      <c r="AA27" s="226"/>
      <c r="AB27" s="226"/>
    </row>
    <row r="28" spans="1:28" s="227" customFormat="1" x14ac:dyDescent="0.25">
      <c r="A28" s="273" t="s">
        <v>182</v>
      </c>
      <c r="B28" s="256" t="s">
        <v>196</v>
      </c>
      <c r="C28" s="257" t="s">
        <v>215</v>
      </c>
      <c r="D28" s="257" t="s">
        <v>179</v>
      </c>
      <c r="E28" s="257" t="s">
        <v>216</v>
      </c>
      <c r="F28" s="257" t="s">
        <v>217</v>
      </c>
      <c r="G28" s="257" t="s">
        <v>287</v>
      </c>
      <c r="H28" s="226"/>
      <c r="I28" s="226"/>
      <c r="J28" s="226"/>
      <c r="K28" s="226"/>
      <c r="L28" s="226"/>
      <c r="M28" s="226"/>
      <c r="N28" s="226"/>
      <c r="O28" s="226"/>
      <c r="P28" s="226"/>
      <c r="Q28" s="226"/>
      <c r="R28" s="226"/>
      <c r="S28" s="226"/>
      <c r="T28" s="226"/>
      <c r="U28" s="226"/>
      <c r="V28" s="226"/>
      <c r="W28" s="226"/>
      <c r="X28" s="226"/>
      <c r="Y28" s="226"/>
      <c r="Z28" s="226"/>
      <c r="AA28" s="226"/>
      <c r="AB28" s="226"/>
    </row>
    <row r="29" spans="1:28" s="227" customFormat="1" x14ac:dyDescent="0.25">
      <c r="A29" s="427" t="s">
        <v>201</v>
      </c>
      <c r="B29" s="427"/>
      <c r="C29" s="427"/>
      <c r="D29" s="275">
        <f>SUM(D30:D40)</f>
        <v>0</v>
      </c>
      <c r="E29" s="260"/>
      <c r="F29" s="260"/>
      <c r="G29" s="266"/>
      <c r="H29" s="226"/>
      <c r="I29" s="226"/>
      <c r="J29" s="226"/>
      <c r="K29" s="226"/>
      <c r="L29" s="226"/>
      <c r="M29" s="226"/>
      <c r="N29" s="226"/>
      <c r="O29" s="226"/>
      <c r="P29" s="226"/>
      <c r="Q29" s="226"/>
      <c r="R29" s="226"/>
      <c r="S29" s="226"/>
      <c r="T29" s="226"/>
      <c r="U29" s="226"/>
      <c r="V29" s="226"/>
      <c r="W29" s="226"/>
      <c r="X29" s="226"/>
      <c r="Y29" s="226"/>
      <c r="Z29" s="226"/>
      <c r="AA29" s="226"/>
      <c r="AB29" s="226"/>
    </row>
    <row r="30" spans="1:28" s="227" customFormat="1" x14ac:dyDescent="0.25">
      <c r="A30" s="174">
        <v>1</v>
      </c>
      <c r="B30" s="261"/>
      <c r="C30" s="262"/>
      <c r="D30" s="255"/>
      <c r="E30" s="264"/>
      <c r="F30" s="264"/>
      <c r="G30" s="265"/>
      <c r="H30" s="226"/>
      <c r="I30" s="226"/>
      <c r="J30" s="226"/>
      <c r="K30" s="226"/>
      <c r="L30" s="226"/>
      <c r="M30" s="226"/>
      <c r="N30" s="226"/>
      <c r="O30" s="226"/>
      <c r="P30" s="226"/>
      <c r="Q30" s="226"/>
      <c r="R30" s="226"/>
      <c r="S30" s="226"/>
      <c r="T30" s="226"/>
      <c r="U30" s="226"/>
      <c r="V30" s="226"/>
      <c r="W30" s="226"/>
      <c r="X30" s="226"/>
      <c r="Y30" s="226"/>
      <c r="Z30" s="226"/>
      <c r="AA30" s="226"/>
      <c r="AB30" s="226"/>
    </row>
    <row r="31" spans="1:28" s="227" customFormat="1" x14ac:dyDescent="0.25">
      <c r="A31" s="174">
        <v>2</v>
      </c>
      <c r="B31" s="261"/>
      <c r="C31" s="262"/>
      <c r="D31" s="267"/>
      <c r="E31" s="264"/>
      <c r="F31" s="264"/>
      <c r="G31" s="265"/>
      <c r="H31" s="226"/>
      <c r="I31" s="226"/>
      <c r="J31" s="226"/>
      <c r="K31" s="226"/>
      <c r="L31" s="226"/>
      <c r="M31" s="226"/>
      <c r="N31" s="226"/>
      <c r="O31" s="226"/>
      <c r="P31" s="226"/>
      <c r="Q31" s="226"/>
      <c r="R31" s="226"/>
      <c r="S31" s="226"/>
      <c r="T31" s="226"/>
      <c r="U31" s="226"/>
      <c r="V31" s="226"/>
      <c r="W31" s="226"/>
      <c r="X31" s="226"/>
      <c r="Y31" s="226"/>
      <c r="Z31" s="226"/>
      <c r="AA31" s="226"/>
      <c r="AB31" s="226"/>
    </row>
    <row r="32" spans="1:28" s="227" customFormat="1" x14ac:dyDescent="0.25">
      <c r="A32" s="174">
        <v>3</v>
      </c>
      <c r="B32" s="261"/>
      <c r="C32" s="262"/>
      <c r="D32" s="267"/>
      <c r="E32" s="264"/>
      <c r="F32" s="264"/>
      <c r="G32" s="265"/>
      <c r="H32" s="226"/>
      <c r="I32" s="226"/>
      <c r="J32" s="226"/>
      <c r="K32" s="226"/>
      <c r="L32" s="226"/>
      <c r="M32" s="226"/>
      <c r="N32" s="226"/>
      <c r="O32" s="226"/>
      <c r="P32" s="226"/>
      <c r="Q32" s="226"/>
      <c r="R32" s="226"/>
      <c r="S32" s="226"/>
      <c r="T32" s="226"/>
      <c r="U32" s="226"/>
      <c r="V32" s="226"/>
      <c r="W32" s="226"/>
      <c r="X32" s="226"/>
      <c r="Y32" s="226"/>
      <c r="Z32" s="226"/>
      <c r="AA32" s="226"/>
      <c r="AB32" s="226"/>
    </row>
    <row r="33" spans="1:28" s="227" customFormat="1" x14ac:dyDescent="0.25">
      <c r="A33" s="174">
        <v>4</v>
      </c>
      <c r="B33" s="261"/>
      <c r="C33" s="262"/>
      <c r="D33" s="267"/>
      <c r="E33" s="264"/>
      <c r="F33" s="264"/>
      <c r="G33" s="265"/>
      <c r="H33" s="226"/>
      <c r="I33" s="226"/>
      <c r="J33" s="226"/>
      <c r="K33" s="226"/>
      <c r="L33" s="226"/>
      <c r="M33" s="226"/>
      <c r="N33" s="226"/>
      <c r="O33" s="226"/>
      <c r="P33" s="226"/>
      <c r="Q33" s="226"/>
      <c r="R33" s="226"/>
      <c r="S33" s="226"/>
      <c r="T33" s="226"/>
      <c r="U33" s="226"/>
      <c r="V33" s="226"/>
      <c r="W33" s="226"/>
      <c r="X33" s="226"/>
      <c r="Y33" s="226"/>
      <c r="Z33" s="226"/>
      <c r="AA33" s="226"/>
      <c r="AB33" s="226"/>
    </row>
    <row r="34" spans="1:28" s="227" customFormat="1" x14ac:dyDescent="0.25">
      <c r="A34" s="174">
        <v>5</v>
      </c>
      <c r="B34" s="261"/>
      <c r="C34" s="262"/>
      <c r="D34" s="267"/>
      <c r="E34" s="264"/>
      <c r="F34" s="264"/>
      <c r="G34" s="265"/>
      <c r="H34" s="226"/>
      <c r="I34" s="226"/>
      <c r="J34" s="226"/>
      <c r="K34" s="226"/>
      <c r="L34" s="226"/>
      <c r="M34" s="226"/>
      <c r="N34" s="226"/>
      <c r="O34" s="226"/>
      <c r="P34" s="226"/>
      <c r="Q34" s="226"/>
      <c r="R34" s="226"/>
      <c r="S34" s="226"/>
      <c r="T34" s="226"/>
      <c r="U34" s="226"/>
      <c r="V34" s="226"/>
      <c r="W34" s="226"/>
      <c r="X34" s="226"/>
      <c r="Y34" s="226"/>
      <c r="Z34" s="226"/>
      <c r="AA34" s="226"/>
      <c r="AB34" s="226"/>
    </row>
    <row r="35" spans="1:28" s="227" customFormat="1" x14ac:dyDescent="0.25">
      <c r="A35" s="174">
        <v>6</v>
      </c>
      <c r="B35" s="261"/>
      <c r="C35" s="262"/>
      <c r="D35" s="267"/>
      <c r="E35" s="264"/>
      <c r="F35" s="264"/>
      <c r="G35" s="265"/>
      <c r="H35" s="226"/>
      <c r="I35" s="226"/>
      <c r="J35" s="226"/>
      <c r="K35" s="226"/>
      <c r="L35" s="226"/>
      <c r="M35" s="226"/>
      <c r="N35" s="226"/>
      <c r="O35" s="226"/>
      <c r="P35" s="226"/>
      <c r="Q35" s="226"/>
      <c r="R35" s="226"/>
      <c r="S35" s="226"/>
      <c r="T35" s="226"/>
      <c r="U35" s="226"/>
      <c r="V35" s="226"/>
      <c r="W35" s="226"/>
      <c r="X35" s="226"/>
      <c r="Y35" s="226"/>
      <c r="Z35" s="226"/>
      <c r="AA35" s="226"/>
      <c r="AB35" s="226"/>
    </row>
    <row r="36" spans="1:28" s="227" customFormat="1" x14ac:dyDescent="0.25">
      <c r="A36" s="174">
        <v>7</v>
      </c>
      <c r="B36" s="261"/>
      <c r="C36" s="262"/>
      <c r="D36" s="267"/>
      <c r="E36" s="264"/>
      <c r="F36" s="264"/>
      <c r="G36" s="265"/>
      <c r="H36" s="226"/>
      <c r="I36" s="226"/>
      <c r="J36" s="226"/>
      <c r="K36" s="226"/>
      <c r="L36" s="226"/>
      <c r="M36" s="226"/>
      <c r="N36" s="226"/>
      <c r="O36" s="226"/>
      <c r="P36" s="226"/>
      <c r="Q36" s="226"/>
      <c r="R36" s="226"/>
      <c r="S36" s="226"/>
      <c r="T36" s="226"/>
      <c r="U36" s="226"/>
      <c r="V36" s="226"/>
      <c r="W36" s="226"/>
      <c r="X36" s="226"/>
      <c r="Y36" s="226"/>
      <c r="Z36" s="226"/>
      <c r="AA36" s="226"/>
      <c r="AB36" s="226"/>
    </row>
    <row r="37" spans="1:28" s="227" customFormat="1" x14ac:dyDescent="0.25">
      <c r="A37" s="174">
        <v>8</v>
      </c>
      <c r="B37" s="261"/>
      <c r="C37" s="262"/>
      <c r="D37" s="267"/>
      <c r="E37" s="264"/>
      <c r="F37" s="264"/>
      <c r="G37" s="265"/>
      <c r="H37" s="226"/>
      <c r="I37" s="226"/>
      <c r="J37" s="226"/>
      <c r="K37" s="226"/>
      <c r="L37" s="226"/>
      <c r="M37" s="226"/>
      <c r="N37" s="226"/>
      <c r="O37" s="226"/>
      <c r="P37" s="226"/>
      <c r="Q37" s="226"/>
      <c r="R37" s="226"/>
      <c r="S37" s="226"/>
      <c r="T37" s="226"/>
      <c r="U37" s="226"/>
      <c r="V37" s="226"/>
      <c r="W37" s="226"/>
      <c r="X37" s="226"/>
      <c r="Y37" s="226"/>
      <c r="Z37" s="226"/>
      <c r="AA37" s="226"/>
      <c r="AB37" s="226"/>
    </row>
    <row r="38" spans="1:28" s="227" customFormat="1" x14ac:dyDescent="0.25">
      <c r="A38" s="174">
        <v>9</v>
      </c>
      <c r="B38" s="261"/>
      <c r="C38" s="262"/>
      <c r="D38" s="267"/>
      <c r="E38" s="264"/>
      <c r="F38" s="264"/>
      <c r="G38" s="265"/>
      <c r="H38" s="226"/>
      <c r="I38" s="226"/>
      <c r="J38" s="226"/>
      <c r="K38" s="226"/>
      <c r="L38" s="226"/>
      <c r="M38" s="226"/>
      <c r="N38" s="226"/>
      <c r="O38" s="226"/>
      <c r="P38" s="226"/>
      <c r="Q38" s="226"/>
      <c r="R38" s="226"/>
      <c r="S38" s="226"/>
      <c r="T38" s="226"/>
      <c r="U38" s="226"/>
      <c r="V38" s="226"/>
      <c r="W38" s="226"/>
      <c r="X38" s="226"/>
      <c r="Y38" s="226"/>
      <c r="Z38" s="226"/>
      <c r="AA38" s="226"/>
      <c r="AB38" s="226"/>
    </row>
    <row r="39" spans="1:28" s="227" customFormat="1" x14ac:dyDescent="0.25">
      <c r="A39" s="174">
        <v>10</v>
      </c>
      <c r="B39" s="261"/>
      <c r="C39" s="262"/>
      <c r="D39" s="267"/>
      <c r="E39" s="264"/>
      <c r="F39" s="264"/>
      <c r="G39" s="265"/>
      <c r="H39" s="226"/>
      <c r="I39" s="226"/>
      <c r="J39" s="226"/>
      <c r="K39" s="226"/>
      <c r="L39" s="226"/>
      <c r="M39" s="226"/>
      <c r="N39" s="226"/>
      <c r="O39" s="226"/>
      <c r="P39" s="226"/>
      <c r="Q39" s="226"/>
      <c r="R39" s="226"/>
      <c r="S39" s="226"/>
      <c r="T39" s="226"/>
      <c r="U39" s="226"/>
      <c r="V39" s="226"/>
      <c r="W39" s="226"/>
      <c r="X39" s="226"/>
      <c r="Y39" s="226"/>
      <c r="Z39" s="226"/>
      <c r="AA39" s="226"/>
      <c r="AB39" s="226"/>
    </row>
    <row r="40" spans="1:28" s="227" customFormat="1" x14ac:dyDescent="0.25">
      <c r="A40" s="174">
        <v>11</v>
      </c>
      <c r="B40" s="261"/>
      <c r="C40" s="262"/>
      <c r="D40" s="267"/>
      <c r="E40" s="264"/>
      <c r="F40" s="264"/>
      <c r="G40" s="265"/>
      <c r="H40" s="226"/>
      <c r="I40" s="226"/>
      <c r="J40" s="226"/>
      <c r="K40" s="226"/>
      <c r="L40" s="226"/>
      <c r="M40" s="226"/>
      <c r="N40" s="226"/>
      <c r="O40" s="226"/>
      <c r="P40" s="226"/>
      <c r="Q40" s="226"/>
      <c r="R40" s="226"/>
      <c r="S40" s="226"/>
      <c r="T40" s="226"/>
      <c r="U40" s="226"/>
      <c r="V40" s="226"/>
      <c r="W40" s="226"/>
      <c r="X40" s="226"/>
      <c r="Y40" s="226"/>
      <c r="Z40" s="226"/>
      <c r="AA40" s="226"/>
      <c r="AB40" s="226"/>
    </row>
    <row r="50" spans="7:7" x14ac:dyDescent="0.25">
      <c r="G50">
        <v>5</v>
      </c>
    </row>
  </sheetData>
  <sheetProtection algorithmName="SHA-512" hashValue="/4vayetfiVOqp47AfsKsXLZ/TNlenL6T/FuqVUjOB5k8AWSJqkP/Jji5lugLYVhRb/qVXHO+wbyl+BUt8OkjIQ==" saltValue="O6OUCNfwUBv9q+wk/Nx/sg==" spinCount="100000" sheet="1" selectLockedCells="1"/>
  <mergeCells count="6">
    <mergeCell ref="A29:C29"/>
    <mergeCell ref="A1:D1"/>
    <mergeCell ref="A2:D2"/>
    <mergeCell ref="B12:G12"/>
    <mergeCell ref="B27:G27"/>
    <mergeCell ref="A14:C14"/>
  </mergeCells>
  <dataValidations count="7">
    <dataValidation type="decimal" operator="greaterThanOrEqual" allowBlank="1" showInputMessage="1" showErrorMessage="1" sqref="D29 G30:G40 D14 G15:G25" xr:uid="{00000000-0002-0000-0600-000000000000}">
      <formula1>0</formula1>
    </dataValidation>
    <dataValidation allowBlank="1" showInputMessage="1" showErrorMessage="1" prompt="Please select code representing validation type of report (&quot;MLAG-PR-UA&quot; is for performance report unaudited - mainly quarterly; &quot;MLAG-PR-A&quot; is for performance report audited - mainly annual)" sqref="C6" xr:uid="{00000000-0002-0000-0600-000001000000}"/>
    <dataValidation allowBlank="1" showInputMessage="1" showErrorMessage="1" prompt="Please state Month/Year ending the reporting period (e.g. 12/2014 for quarter ending December 2014)" sqref="C8" xr:uid="{00000000-0002-0000-0600-000002000000}"/>
    <dataValidation allowBlank="1" showInputMessage="1" showErrorMessage="1" prompt="Please state the period covered by the report (e.g. October-December 2014 for quarter ending December 2014)." sqref="C7" xr:uid="{00000000-0002-0000-0600-000003000000}"/>
    <dataValidation allowBlank="1" showInputMessage="1" showErrorMessage="1" prompt="Please input the MCAG membership ID given to you by MCAG here." sqref="C5" xr:uid="{00000000-0002-0000-0600-000004000000}"/>
    <dataValidation allowBlank="1" showInputMessage="1" showErrorMessage="1" prompt="Please input your registered business name as appears on your BoG License" sqref="C4" xr:uid="{00000000-0002-0000-0600-000005000000}"/>
    <dataValidation type="custom" allowBlank="1" showInputMessage="1" showErrorMessage="1" error="Please enter a valid amount to proceed" prompt="Please make sure that your input is an amount value" sqref="D15:D25 D30:D40" xr:uid="{00000000-0002-0000-0600-000006000000}">
      <formula1>ISNUMBER(D15)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209"/>
  <sheetViews>
    <sheetView zoomScaleNormal="100" workbookViewId="0">
      <selection activeCell="D15" sqref="D15"/>
    </sheetView>
  </sheetViews>
  <sheetFormatPr defaultColWidth="8.7109375" defaultRowHeight="15" x14ac:dyDescent="0.25"/>
  <cols>
    <col min="2" max="2" width="25" customWidth="1"/>
    <col min="3" max="3" width="61.42578125" bestFit="1" customWidth="1"/>
    <col min="4" max="4" width="24.42578125" customWidth="1"/>
    <col min="6" max="6" width="13.7109375" bestFit="1" customWidth="1"/>
  </cols>
  <sheetData>
    <row r="1" spans="1:46" s="14" customFormat="1" ht="18.75" x14ac:dyDescent="0.25">
      <c r="A1" s="425" t="str">
        <f>'Cover Sheet'!A1:D1</f>
        <v xml:space="preserve">GHANA CO-OPERATIVE SUSU COLLECTORS ASSOCIATION </v>
      </c>
      <c r="B1" s="425"/>
      <c r="C1" s="425"/>
      <c r="D1" s="425"/>
      <c r="E1" s="47">
        <f>SUM(D4:D10)</f>
        <v>0</v>
      </c>
      <c r="F1" s="156" t="str">
        <f>IF(SUM(D4:D10)=0,"","Error!")</f>
        <v/>
      </c>
    </row>
    <row r="2" spans="1:46" s="14" customFormat="1" ht="18.75" x14ac:dyDescent="0.25">
      <c r="A2" s="425" t="s">
        <v>8</v>
      </c>
      <c r="B2" s="425"/>
      <c r="C2" s="425"/>
      <c r="D2" s="425"/>
    </row>
    <row r="3" spans="1:46" s="13" customFormat="1" ht="15.75" x14ac:dyDescent="0.25">
      <c r="A3" s="15"/>
      <c r="B3" s="10"/>
      <c r="C3" s="8"/>
      <c r="D3" s="11"/>
    </row>
    <row r="4" spans="1:46" s="16" customFormat="1" ht="15.75" x14ac:dyDescent="0.25">
      <c r="B4" s="17" t="s">
        <v>9</v>
      </c>
      <c r="C4" s="23" t="str">
        <f>IF('Cover Sheet'!C4="", "", 'Cover Sheet'!C4)</f>
        <v>QUICK RETURNS SUSU ENTERPRISE</v>
      </c>
      <c r="D4" s="18">
        <f>IF(C4="",1,IF(ISTEXT(C4),0,1))+IF(OR(ISNUMBER(LEFT(C4)),LEFT(C4)=" "),1,0)</f>
        <v>0</v>
      </c>
    </row>
    <row r="5" spans="1:46" s="16" customFormat="1" ht="15.75" x14ac:dyDescent="0.25">
      <c r="B5" s="17" t="s">
        <v>10</v>
      </c>
      <c r="C5" s="50" t="str">
        <f>IF('Cover Sheet'!C5="", "", 'Cover Sheet'!C5)</f>
        <v xml:space="preserve">
GCSCA-GT-0-0000288</v>
      </c>
      <c r="D5" s="18">
        <f>IF(C5="",1,IF(ISTEXT(C5),0,1))+IF(OR(ISNUMBER(LEFT(C5)),LEFT(C5)=" "),1,0)</f>
        <v>0</v>
      </c>
    </row>
    <row r="6" spans="1:46" s="19" customFormat="1" ht="15.75" x14ac:dyDescent="0.25">
      <c r="B6" s="17" t="s">
        <v>11</v>
      </c>
      <c r="C6" s="134" t="str">
        <f>IF('Cover Sheet'!C6="", "", 'Cover Sheet'!C6)</f>
        <v xml:space="preserve">GCSCA-PR-UA </v>
      </c>
      <c r="D6" s="18">
        <f>IF(C6="",1,IF(ISTEXT(C6),0,1))</f>
        <v>0</v>
      </c>
    </row>
    <row r="7" spans="1:46" s="16" customFormat="1" ht="15.75" x14ac:dyDescent="0.25">
      <c r="B7" s="17" t="s">
        <v>12</v>
      </c>
      <c r="C7" s="50" t="str">
        <f>'Investment Details'!C7</f>
        <v>JUNE</v>
      </c>
      <c r="D7" s="18">
        <f>IF(C7="",1,IF(ISTEXT(C7),0,1))</f>
        <v>0</v>
      </c>
    </row>
    <row r="8" spans="1:46" s="19" customFormat="1" ht="15.75" x14ac:dyDescent="0.25">
      <c r="B8" s="17" t="s">
        <v>13</v>
      </c>
      <c r="C8" s="133" t="str">
        <f>'Cover Sheet'!C9</f>
        <v>July 2026</v>
      </c>
      <c r="D8" s="18">
        <f>IF(C8="",1, 0)</f>
        <v>0</v>
      </c>
    </row>
    <row r="9" spans="1:46" s="21" customFormat="1" ht="15.75" x14ac:dyDescent="0.25">
      <c r="A9" s="20"/>
      <c r="B9" s="17" t="s">
        <v>14</v>
      </c>
      <c r="C9" s="135" t="str">
        <f>IF('Cover Sheet'!C7="", "", 'Cover Sheet'!C7)</f>
        <v>2026</v>
      </c>
      <c r="D9" s="18">
        <f>IF(C9="",1, 0)</f>
        <v>0</v>
      </c>
    </row>
    <row r="10" spans="1:46" s="21" customFormat="1" ht="15.75" x14ac:dyDescent="0.25">
      <c r="A10" s="20"/>
      <c r="B10" s="17" t="s">
        <v>156</v>
      </c>
      <c r="C10" s="135" t="str">
        <f>IF('Cover Sheet'!C10="", "", 'Cover Sheet'!C10)</f>
        <v>Greater Accra-GA</v>
      </c>
      <c r="D10" s="22">
        <f>IF(C10="",1, 0)</f>
        <v>0</v>
      </c>
    </row>
    <row r="11" spans="1:46" x14ac:dyDescent="0.25">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row>
    <row r="12" spans="1:46" s="227" customFormat="1" x14ac:dyDescent="0.25">
      <c r="A12" s="433" t="s">
        <v>338</v>
      </c>
      <c r="B12" s="433"/>
      <c r="C12" s="433"/>
      <c r="D12" s="433"/>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row>
    <row r="13" spans="1:46" s="227" customFormat="1" x14ac:dyDescent="0.25">
      <c r="A13" s="280" t="s">
        <v>178</v>
      </c>
      <c r="B13" s="281" t="s">
        <v>258</v>
      </c>
      <c r="C13" s="282" t="s">
        <v>187</v>
      </c>
      <c r="D13" s="282" t="s">
        <v>179</v>
      </c>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row>
    <row r="14" spans="1:46" s="227" customFormat="1" x14ac:dyDescent="0.25">
      <c r="A14" s="430" t="s">
        <v>180</v>
      </c>
      <c r="B14" s="432"/>
      <c r="C14" s="283">
        <f>IFERROR(D14/D14,0)</f>
        <v>0</v>
      </c>
      <c r="D14" s="284">
        <f>SUM(D15:D26)</f>
        <v>0</v>
      </c>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row>
    <row r="15" spans="1:46" s="227" customFormat="1" x14ac:dyDescent="0.25">
      <c r="A15" s="277">
        <v>1</v>
      </c>
      <c r="B15" s="278" t="s">
        <v>222</v>
      </c>
      <c r="C15" s="279">
        <f t="shared" ref="C15:C26" si="0">IFERROR(D15/D$14,0)</f>
        <v>0</v>
      </c>
      <c r="D15" s="276"/>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row>
    <row r="16" spans="1:46" s="227" customFormat="1" x14ac:dyDescent="0.25">
      <c r="A16" s="277">
        <v>2</v>
      </c>
      <c r="B16" s="278" t="s">
        <v>223</v>
      </c>
      <c r="C16" s="279">
        <f t="shared" si="0"/>
        <v>0</v>
      </c>
      <c r="D16" s="27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row>
    <row r="17" spans="1:46" s="227" customFormat="1" x14ac:dyDescent="0.25">
      <c r="A17" s="277">
        <v>3</v>
      </c>
      <c r="B17" s="278"/>
      <c r="C17" s="279">
        <f t="shared" si="0"/>
        <v>0</v>
      </c>
      <c r="D17" s="276"/>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row>
    <row r="18" spans="1:46" s="227" customFormat="1" x14ac:dyDescent="0.25">
      <c r="A18" s="277">
        <v>4</v>
      </c>
      <c r="B18" s="278"/>
      <c r="C18" s="279">
        <f t="shared" si="0"/>
        <v>0</v>
      </c>
      <c r="D18" s="276"/>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row>
    <row r="19" spans="1:46" s="227" customFormat="1" x14ac:dyDescent="0.25">
      <c r="A19" s="277">
        <v>5</v>
      </c>
      <c r="B19" s="278"/>
      <c r="C19" s="279">
        <f t="shared" si="0"/>
        <v>0</v>
      </c>
      <c r="D19" s="276"/>
      <c r="E19" s="226"/>
      <c r="F19" s="226"/>
      <c r="G19" s="226"/>
      <c r="H19" s="226"/>
      <c r="I19" s="226"/>
      <c r="J19" s="226"/>
      <c r="K19" s="226"/>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row>
    <row r="20" spans="1:46" s="227" customFormat="1" x14ac:dyDescent="0.25">
      <c r="A20" s="277">
        <v>6</v>
      </c>
      <c r="B20" s="278"/>
      <c r="C20" s="279">
        <f t="shared" si="0"/>
        <v>0</v>
      </c>
      <c r="D20" s="276"/>
      <c r="E20" s="226"/>
      <c r="F20" s="226"/>
      <c r="G20" s="226"/>
      <c r="H20" s="226"/>
      <c r="I20" s="226"/>
      <c r="J20" s="226"/>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row>
    <row r="21" spans="1:46" s="227" customFormat="1" x14ac:dyDescent="0.25">
      <c r="A21" s="277">
        <v>7</v>
      </c>
      <c r="B21" s="278"/>
      <c r="C21" s="279">
        <f t="shared" si="0"/>
        <v>0</v>
      </c>
      <c r="D21" s="276"/>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row>
    <row r="22" spans="1:46" s="227" customFormat="1" x14ac:dyDescent="0.25">
      <c r="A22" s="277">
        <v>8</v>
      </c>
      <c r="B22" s="278"/>
      <c r="C22" s="279">
        <f t="shared" si="0"/>
        <v>0</v>
      </c>
      <c r="D22" s="276"/>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row>
    <row r="23" spans="1:46" s="227" customFormat="1" x14ac:dyDescent="0.25">
      <c r="A23" s="277">
        <v>9</v>
      </c>
      <c r="B23" s="278"/>
      <c r="C23" s="279">
        <f t="shared" si="0"/>
        <v>0</v>
      </c>
      <c r="D23" s="276"/>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row>
    <row r="24" spans="1:46" s="227" customFormat="1" x14ac:dyDescent="0.25">
      <c r="A24" s="277">
        <v>10</v>
      </c>
      <c r="B24" s="278"/>
      <c r="C24" s="279">
        <f t="shared" si="0"/>
        <v>0</v>
      </c>
      <c r="D24" s="276"/>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row>
    <row r="25" spans="1:46" s="227" customFormat="1" x14ac:dyDescent="0.25">
      <c r="A25" s="277">
        <v>11</v>
      </c>
      <c r="B25" s="278"/>
      <c r="C25" s="279">
        <f t="shared" si="0"/>
        <v>0</v>
      </c>
      <c r="D25" s="276"/>
      <c r="E25" s="226"/>
      <c r="F25" s="113"/>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row>
    <row r="26" spans="1:46" s="227" customFormat="1" x14ac:dyDescent="0.25">
      <c r="A26" s="277">
        <v>12</v>
      </c>
      <c r="B26" s="278"/>
      <c r="C26" s="279">
        <f t="shared" si="0"/>
        <v>0</v>
      </c>
      <c r="D26" s="276"/>
      <c r="E26" s="226"/>
      <c r="F26" s="113"/>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row>
    <row r="27" spans="1:46" s="113" customFormat="1" x14ac:dyDescent="0.25"/>
    <row r="28" spans="1:46" s="113" customFormat="1" x14ac:dyDescent="0.25"/>
    <row r="29" spans="1:46" s="113" customFormat="1" x14ac:dyDescent="0.25"/>
    <row r="30" spans="1:46" s="113" customFormat="1" x14ac:dyDescent="0.25"/>
    <row r="31" spans="1:46" s="113" customFormat="1" x14ac:dyDescent="0.25"/>
    <row r="32" spans="1:46" s="113" customFormat="1" x14ac:dyDescent="0.25"/>
    <row r="33" s="113" customFormat="1" x14ac:dyDescent="0.25"/>
    <row r="34" s="113" customFormat="1" x14ac:dyDescent="0.25"/>
    <row r="35" s="113" customFormat="1" x14ac:dyDescent="0.25"/>
    <row r="36" s="113" customFormat="1" x14ac:dyDescent="0.25"/>
    <row r="37" s="113" customFormat="1" x14ac:dyDescent="0.25"/>
    <row r="38" s="113" customFormat="1" x14ac:dyDescent="0.25"/>
    <row r="39" s="113" customFormat="1" x14ac:dyDescent="0.25"/>
    <row r="40" s="113" customFormat="1" x14ac:dyDescent="0.25"/>
    <row r="41" s="113" customFormat="1" x14ac:dyDescent="0.25"/>
    <row r="42" s="113" customFormat="1" x14ac:dyDescent="0.25"/>
    <row r="43" s="113" customFormat="1" x14ac:dyDescent="0.25"/>
    <row r="44" s="113" customFormat="1" x14ac:dyDescent="0.25"/>
    <row r="45" s="113" customFormat="1" x14ac:dyDescent="0.25"/>
    <row r="46" s="113" customFormat="1" x14ac:dyDescent="0.25"/>
    <row r="47" s="113" customFormat="1" x14ac:dyDescent="0.25"/>
    <row r="48" s="113" customFormat="1" x14ac:dyDescent="0.25"/>
    <row r="49" s="113" customFormat="1" x14ac:dyDescent="0.25"/>
    <row r="50" s="113" customFormat="1" x14ac:dyDescent="0.25"/>
    <row r="51" s="113" customFormat="1" x14ac:dyDescent="0.25"/>
    <row r="52" s="113" customFormat="1" x14ac:dyDescent="0.25"/>
    <row r="53" s="113" customFormat="1" x14ac:dyDescent="0.25"/>
    <row r="54" s="113" customFormat="1" x14ac:dyDescent="0.25"/>
    <row r="55" s="113" customFormat="1" x14ac:dyDescent="0.25"/>
    <row r="56" s="113" customFormat="1" x14ac:dyDescent="0.25"/>
    <row r="57" s="113" customFormat="1" x14ac:dyDescent="0.25"/>
    <row r="58" s="113" customFormat="1" x14ac:dyDescent="0.25"/>
    <row r="59" s="113" customFormat="1" x14ac:dyDescent="0.25"/>
    <row r="60" s="113" customFormat="1" x14ac:dyDescent="0.25"/>
    <row r="61" s="113" customFormat="1" x14ac:dyDescent="0.25"/>
    <row r="62" s="113" customFormat="1" x14ac:dyDescent="0.25"/>
    <row r="63" s="113" customFormat="1" x14ac:dyDescent="0.25"/>
    <row r="64" s="113" customFormat="1" x14ac:dyDescent="0.25"/>
    <row r="65" s="113" customFormat="1" x14ac:dyDescent="0.25"/>
    <row r="66" s="113" customFormat="1" x14ac:dyDescent="0.25"/>
    <row r="67" s="113" customFormat="1" x14ac:dyDescent="0.25"/>
    <row r="68" s="113" customFormat="1" x14ac:dyDescent="0.25"/>
    <row r="69" s="113" customFormat="1" x14ac:dyDescent="0.25"/>
    <row r="70" s="113" customFormat="1" x14ac:dyDescent="0.25"/>
    <row r="71" s="113" customFormat="1" x14ac:dyDescent="0.25"/>
    <row r="72" s="113" customFormat="1" x14ac:dyDescent="0.25"/>
    <row r="73" s="113" customFormat="1" x14ac:dyDescent="0.25"/>
    <row r="74" s="113" customFormat="1" x14ac:dyDescent="0.25"/>
    <row r="75" s="113" customFormat="1" x14ac:dyDescent="0.25"/>
    <row r="76" s="113" customFormat="1" x14ac:dyDescent="0.25"/>
    <row r="77" s="113" customFormat="1" x14ac:dyDescent="0.25"/>
    <row r="78" s="113" customFormat="1" x14ac:dyDescent="0.25"/>
    <row r="79" s="113" customFormat="1" x14ac:dyDescent="0.25"/>
    <row r="80" s="113" customFormat="1" x14ac:dyDescent="0.25"/>
    <row r="81" s="113" customFormat="1" x14ac:dyDescent="0.25"/>
    <row r="82" s="113" customFormat="1" x14ac:dyDescent="0.25"/>
    <row r="83" s="113" customFormat="1" x14ac:dyDescent="0.25"/>
    <row r="84" s="113" customFormat="1" x14ac:dyDescent="0.25"/>
    <row r="85" s="113" customFormat="1" x14ac:dyDescent="0.25"/>
    <row r="86" s="113" customFormat="1" x14ac:dyDescent="0.25"/>
    <row r="87" s="113" customFormat="1" x14ac:dyDescent="0.25"/>
    <row r="88" s="113" customFormat="1" x14ac:dyDescent="0.25"/>
    <row r="89" s="113" customFormat="1" x14ac:dyDescent="0.25"/>
    <row r="90" s="113" customFormat="1" x14ac:dyDescent="0.25"/>
    <row r="91" s="113" customFormat="1" x14ac:dyDescent="0.25"/>
    <row r="92" s="113" customFormat="1" x14ac:dyDescent="0.25"/>
    <row r="93" s="113" customFormat="1" x14ac:dyDescent="0.25"/>
    <row r="94" s="113" customFormat="1" x14ac:dyDescent="0.25"/>
    <row r="95" s="113" customFormat="1" x14ac:dyDescent="0.25"/>
    <row r="96" s="113" customFormat="1" x14ac:dyDescent="0.25"/>
    <row r="97" s="113" customFormat="1" x14ac:dyDescent="0.25"/>
    <row r="98" s="113" customFormat="1" x14ac:dyDescent="0.25"/>
    <row r="99" s="113" customFormat="1" x14ac:dyDescent="0.25"/>
    <row r="100" s="113" customFormat="1" x14ac:dyDescent="0.25"/>
    <row r="101" s="113" customFormat="1" x14ac:dyDescent="0.25"/>
    <row r="102" s="113" customFormat="1" x14ac:dyDescent="0.25"/>
    <row r="103" s="113" customFormat="1" x14ac:dyDescent="0.25"/>
    <row r="104" s="113" customFormat="1" x14ac:dyDescent="0.25"/>
    <row r="105" s="113" customFormat="1" x14ac:dyDescent="0.25"/>
    <row r="106" s="113" customFormat="1" x14ac:dyDescent="0.25"/>
    <row r="107" s="113" customFormat="1" x14ac:dyDescent="0.25"/>
    <row r="108" s="113" customFormat="1" x14ac:dyDescent="0.25"/>
    <row r="109" s="113" customFormat="1" x14ac:dyDescent="0.25"/>
    <row r="110" s="113" customFormat="1" x14ac:dyDescent="0.25"/>
    <row r="111" s="113" customFormat="1" x14ac:dyDescent="0.25"/>
    <row r="112" s="113" customFormat="1" x14ac:dyDescent="0.25"/>
    <row r="113" spans="5:46" s="113" customFormat="1" x14ac:dyDescent="0.25"/>
    <row r="114" spans="5:46" s="113" customFormat="1" x14ac:dyDescent="0.25"/>
    <row r="115" spans="5:46" x14ac:dyDescent="0.25">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c r="AO115" s="113"/>
      <c r="AP115" s="113"/>
      <c r="AQ115" s="113"/>
      <c r="AR115" s="113"/>
      <c r="AS115" s="113"/>
      <c r="AT115" s="113"/>
    </row>
    <row r="116" spans="5:46" x14ac:dyDescent="0.25">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c r="AO116" s="113"/>
      <c r="AP116" s="113"/>
      <c r="AQ116" s="113"/>
      <c r="AR116" s="113"/>
      <c r="AS116" s="113"/>
      <c r="AT116" s="113"/>
    </row>
    <row r="117" spans="5:46" x14ac:dyDescent="0.25">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c r="AO117" s="113"/>
      <c r="AP117" s="113"/>
      <c r="AQ117" s="113"/>
      <c r="AR117" s="113"/>
      <c r="AS117" s="113"/>
      <c r="AT117" s="113"/>
    </row>
    <row r="118" spans="5:46" x14ac:dyDescent="0.25">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c r="AO118" s="113"/>
      <c r="AP118" s="113"/>
      <c r="AQ118" s="113"/>
      <c r="AR118" s="113"/>
      <c r="AS118" s="113"/>
      <c r="AT118" s="113"/>
    </row>
    <row r="119" spans="5:46" x14ac:dyDescent="0.25">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c r="AO119" s="113"/>
      <c r="AP119" s="113"/>
      <c r="AQ119" s="113"/>
      <c r="AR119" s="113"/>
      <c r="AS119" s="113"/>
      <c r="AT119" s="113"/>
    </row>
    <row r="120" spans="5:46" x14ac:dyDescent="0.25">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c r="AO120" s="113"/>
      <c r="AP120" s="113"/>
      <c r="AQ120" s="113"/>
      <c r="AR120" s="113"/>
      <c r="AS120" s="113"/>
      <c r="AT120" s="113"/>
    </row>
    <row r="121" spans="5:46" x14ac:dyDescent="0.25">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c r="AO121" s="113"/>
      <c r="AP121" s="113"/>
      <c r="AQ121" s="113"/>
      <c r="AR121" s="113"/>
      <c r="AS121" s="113"/>
      <c r="AT121" s="113"/>
    </row>
    <row r="122" spans="5:46" x14ac:dyDescent="0.25">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c r="AO122" s="113"/>
      <c r="AP122" s="113"/>
      <c r="AQ122" s="113"/>
      <c r="AR122" s="113"/>
      <c r="AS122" s="113"/>
      <c r="AT122" s="113"/>
    </row>
    <row r="123" spans="5:46" x14ac:dyDescent="0.25">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c r="AO123" s="113"/>
      <c r="AP123" s="113"/>
      <c r="AQ123" s="113"/>
      <c r="AR123" s="113"/>
      <c r="AS123" s="113"/>
      <c r="AT123" s="113"/>
    </row>
    <row r="124" spans="5:46" x14ac:dyDescent="0.25">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c r="AO124" s="113"/>
      <c r="AP124" s="113"/>
      <c r="AQ124" s="113"/>
      <c r="AR124" s="113"/>
      <c r="AS124" s="113"/>
      <c r="AT124" s="113"/>
    </row>
    <row r="125" spans="5:46" x14ac:dyDescent="0.25">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c r="AO125" s="113"/>
      <c r="AP125" s="113"/>
      <c r="AQ125" s="113"/>
      <c r="AR125" s="113"/>
      <c r="AS125" s="113"/>
      <c r="AT125" s="113"/>
    </row>
    <row r="126" spans="5:46" x14ac:dyDescent="0.25">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c r="AO126" s="113"/>
      <c r="AP126" s="113"/>
      <c r="AQ126" s="113"/>
      <c r="AR126" s="113"/>
      <c r="AS126" s="113"/>
      <c r="AT126" s="113"/>
    </row>
    <row r="127" spans="5:46" x14ac:dyDescent="0.25">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c r="AO127" s="113"/>
      <c r="AP127" s="113"/>
      <c r="AQ127" s="113"/>
      <c r="AR127" s="113"/>
      <c r="AS127" s="113"/>
      <c r="AT127" s="113"/>
    </row>
    <row r="128" spans="5:46" x14ac:dyDescent="0.25">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c r="AO128" s="113"/>
      <c r="AP128" s="113"/>
      <c r="AQ128" s="113"/>
      <c r="AR128" s="113"/>
      <c r="AS128" s="113"/>
      <c r="AT128" s="113"/>
    </row>
    <row r="129" spans="5:46" x14ac:dyDescent="0.25">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c r="AO129" s="113"/>
      <c r="AP129" s="113"/>
      <c r="AQ129" s="113"/>
      <c r="AR129" s="113"/>
      <c r="AS129" s="113"/>
      <c r="AT129" s="113"/>
    </row>
    <row r="130" spans="5:46" x14ac:dyDescent="0.25">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c r="AO130" s="113"/>
      <c r="AP130" s="113"/>
      <c r="AQ130" s="113"/>
      <c r="AR130" s="113"/>
      <c r="AS130" s="113"/>
      <c r="AT130" s="113"/>
    </row>
    <row r="131" spans="5:46" x14ac:dyDescent="0.25">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c r="AO131" s="113"/>
      <c r="AP131" s="113"/>
      <c r="AQ131" s="113"/>
      <c r="AR131" s="113"/>
      <c r="AS131" s="113"/>
      <c r="AT131" s="113"/>
    </row>
    <row r="132" spans="5:46" x14ac:dyDescent="0.25">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c r="AO132" s="113"/>
      <c r="AP132" s="113"/>
      <c r="AQ132" s="113"/>
      <c r="AR132" s="113"/>
      <c r="AS132" s="113"/>
      <c r="AT132" s="113"/>
    </row>
    <row r="133" spans="5:46" x14ac:dyDescent="0.25">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c r="AO133" s="113"/>
      <c r="AP133" s="113"/>
      <c r="AQ133" s="113"/>
      <c r="AR133" s="113"/>
      <c r="AS133" s="113"/>
      <c r="AT133" s="113"/>
    </row>
    <row r="134" spans="5:46" x14ac:dyDescent="0.25">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c r="AO134" s="113"/>
      <c r="AP134" s="113"/>
      <c r="AQ134" s="113"/>
      <c r="AR134" s="113"/>
      <c r="AS134" s="113"/>
      <c r="AT134" s="113"/>
    </row>
    <row r="135" spans="5:46" x14ac:dyDescent="0.25">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c r="AO135" s="113"/>
      <c r="AP135" s="113"/>
      <c r="AQ135" s="113"/>
      <c r="AR135" s="113"/>
      <c r="AS135" s="113"/>
      <c r="AT135" s="113"/>
    </row>
    <row r="136" spans="5:46" x14ac:dyDescent="0.25">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c r="AO136" s="113"/>
      <c r="AP136" s="113"/>
      <c r="AQ136" s="113"/>
      <c r="AR136" s="113"/>
      <c r="AS136" s="113"/>
      <c r="AT136" s="113"/>
    </row>
    <row r="137" spans="5:46" x14ac:dyDescent="0.25">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c r="AO137" s="113"/>
      <c r="AP137" s="113"/>
      <c r="AQ137" s="113"/>
      <c r="AR137" s="113"/>
      <c r="AS137" s="113"/>
      <c r="AT137" s="113"/>
    </row>
    <row r="138" spans="5:46" x14ac:dyDescent="0.25">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row>
    <row r="139" spans="5:46" x14ac:dyDescent="0.25">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row>
    <row r="140" spans="5:46" x14ac:dyDescent="0.25">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row>
    <row r="141" spans="5:46" x14ac:dyDescent="0.25">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row>
    <row r="142" spans="5:46" x14ac:dyDescent="0.25">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row>
    <row r="143" spans="5:46" x14ac:dyDescent="0.25">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row>
    <row r="144" spans="5:46" x14ac:dyDescent="0.25">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row>
    <row r="145" spans="5:46" x14ac:dyDescent="0.25">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row>
    <row r="146" spans="5:46" x14ac:dyDescent="0.25">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row>
    <row r="147" spans="5:46" x14ac:dyDescent="0.25">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row>
    <row r="148" spans="5:46" x14ac:dyDescent="0.25">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row>
    <row r="149" spans="5:46" x14ac:dyDescent="0.25">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row>
    <row r="150" spans="5:46" x14ac:dyDescent="0.25">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row>
    <row r="151" spans="5:46" x14ac:dyDescent="0.25">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row>
    <row r="152" spans="5:46" x14ac:dyDescent="0.25">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row>
    <row r="153" spans="5:46" x14ac:dyDescent="0.25">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row>
    <row r="154" spans="5:46" x14ac:dyDescent="0.25">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row>
    <row r="155" spans="5:46" x14ac:dyDescent="0.25">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row>
    <row r="156" spans="5:46" x14ac:dyDescent="0.25">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row>
    <row r="157" spans="5:46" x14ac:dyDescent="0.25">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row>
    <row r="158" spans="5:46" x14ac:dyDescent="0.25">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row>
    <row r="159" spans="5:46" x14ac:dyDescent="0.25">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row>
    <row r="160" spans="5:46" x14ac:dyDescent="0.25">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row>
    <row r="161" spans="5:46" x14ac:dyDescent="0.25">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row>
    <row r="162" spans="5:46" x14ac:dyDescent="0.25">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row>
    <row r="163" spans="5:46" x14ac:dyDescent="0.25">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row>
    <row r="164" spans="5:46" x14ac:dyDescent="0.25">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row>
    <row r="165" spans="5:46" x14ac:dyDescent="0.25">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row>
    <row r="166" spans="5:46" x14ac:dyDescent="0.25">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row>
    <row r="167" spans="5:46" x14ac:dyDescent="0.25">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row>
    <row r="168" spans="5:46" x14ac:dyDescent="0.25">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row>
    <row r="169" spans="5:46" x14ac:dyDescent="0.25">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row>
    <row r="170" spans="5:46" x14ac:dyDescent="0.25">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row>
    <row r="171" spans="5:46" x14ac:dyDescent="0.25">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row>
    <row r="172" spans="5:46" x14ac:dyDescent="0.25">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row>
    <row r="173" spans="5:46" x14ac:dyDescent="0.25">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row>
    <row r="174" spans="5:46" x14ac:dyDescent="0.25">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row>
    <row r="175" spans="5:46" x14ac:dyDescent="0.25">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row>
    <row r="176" spans="5:46" x14ac:dyDescent="0.25">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row>
    <row r="177" spans="5:46" x14ac:dyDescent="0.25">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row>
    <row r="178" spans="5:46" x14ac:dyDescent="0.25">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row>
    <row r="179" spans="5:46" x14ac:dyDescent="0.25">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row>
    <row r="180" spans="5:46" x14ac:dyDescent="0.25">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row>
    <row r="181" spans="5:46" x14ac:dyDescent="0.25">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row>
    <row r="182" spans="5:46" x14ac:dyDescent="0.25">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row>
    <row r="183" spans="5:46" x14ac:dyDescent="0.25">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row>
    <row r="184" spans="5:46" x14ac:dyDescent="0.25">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row>
    <row r="185" spans="5:46" x14ac:dyDescent="0.25">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row>
    <row r="186" spans="5:46" x14ac:dyDescent="0.25">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row>
    <row r="187" spans="5:46" x14ac:dyDescent="0.25">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row>
    <row r="188" spans="5:46" x14ac:dyDescent="0.25">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row>
    <row r="189" spans="5:46" x14ac:dyDescent="0.25">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row>
    <row r="190" spans="5:46" x14ac:dyDescent="0.25">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row>
    <row r="191" spans="5:46" x14ac:dyDescent="0.25">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row>
    <row r="192" spans="5:46" x14ac:dyDescent="0.25">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row>
    <row r="193" spans="5:46" x14ac:dyDescent="0.25">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row>
    <row r="194" spans="5:46" x14ac:dyDescent="0.25">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row>
    <row r="195" spans="5:46" x14ac:dyDescent="0.25">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row>
    <row r="196" spans="5:46" x14ac:dyDescent="0.25">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row>
    <row r="197" spans="5:46" x14ac:dyDescent="0.25">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row>
    <row r="198" spans="5:46" x14ac:dyDescent="0.25">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row>
    <row r="199" spans="5:46" x14ac:dyDescent="0.25">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row>
    <row r="200" spans="5:46" x14ac:dyDescent="0.25">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row>
    <row r="201" spans="5:46" x14ac:dyDescent="0.25">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row>
    <row r="202" spans="5:46" x14ac:dyDescent="0.25">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row>
    <row r="203" spans="5:46" x14ac:dyDescent="0.25">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row>
    <row r="204" spans="5:46" x14ac:dyDescent="0.25">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row>
    <row r="205" spans="5:46" x14ac:dyDescent="0.25">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row>
    <row r="206" spans="5:46" x14ac:dyDescent="0.25">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row>
    <row r="207" spans="5:46" x14ac:dyDescent="0.25">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row>
    <row r="208" spans="5:46" x14ac:dyDescent="0.25">
      <c r="E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row>
    <row r="209" spans="5:46" x14ac:dyDescent="0.25">
      <c r="E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row>
  </sheetData>
  <sheetProtection algorithmName="SHA-512" hashValue="l6XgFphOi2NfIWUtD3WBw2QQQDvxX5xa4Wf19kGL/XEUIUNRI/Z9Zx8QKV/OwIARIK1m3YXRrIvBG/8EgBz4qw==" saltValue="6dJMB5dwAj2eW1FWI7TZqw==" spinCount="100000" sheet="1" selectLockedCells="1"/>
  <mergeCells count="4">
    <mergeCell ref="A1:D1"/>
    <mergeCell ref="A2:D2"/>
    <mergeCell ref="A12:D12"/>
    <mergeCell ref="A14:B14"/>
  </mergeCells>
  <dataValidations count="6">
    <dataValidation allowBlank="1" showInputMessage="1" showErrorMessage="1" prompt="Please select code representing validation type of report (&quot;MLAG-PR-UA&quot; is for performance report unaudited - mainly quarterly; &quot;MLAG-PR-A&quot; is for performance report audited - mainly annual)" sqref="C6" xr:uid="{00000000-0002-0000-0700-000000000000}"/>
    <dataValidation allowBlank="1" showInputMessage="1" showErrorMessage="1" prompt="Please state Month/Year ending the reporting period (e.g. 12/2014 for quarter ending December 2014)" sqref="C8" xr:uid="{00000000-0002-0000-0700-000001000000}"/>
    <dataValidation allowBlank="1" showInputMessage="1" showErrorMessage="1" prompt="Please state the period covered by the report (e.g. October-December 2014 for quarter ending December 2014)." sqref="C7" xr:uid="{00000000-0002-0000-0700-000002000000}"/>
    <dataValidation allowBlank="1" showInputMessage="1" showErrorMessage="1" prompt="Please input the MCAG membership ID given to you by MCAG here." sqref="C5" xr:uid="{00000000-0002-0000-0700-000003000000}"/>
    <dataValidation allowBlank="1" showInputMessage="1" showErrorMessage="1" prompt="Please input your registered business name as appears on your BoG License" sqref="C4" xr:uid="{00000000-0002-0000-0700-000004000000}"/>
    <dataValidation type="custom" operator="greaterThanOrEqual" allowBlank="1" showInputMessage="1" showErrorMessage="1" error="Please enter a valid amount to proceed" prompt="Please make sure that your input is an amount value" sqref="D15:D26" xr:uid="{00000000-0002-0000-0700-000005000000}">
      <formula1>ISNUMBER(D15)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89"/>
  <sheetViews>
    <sheetView topLeftCell="A4" zoomScale="99" zoomScaleNormal="106" workbookViewId="0">
      <selection activeCell="D16" sqref="D16"/>
    </sheetView>
  </sheetViews>
  <sheetFormatPr defaultColWidth="8.7109375" defaultRowHeight="15" x14ac:dyDescent="0.25"/>
  <cols>
    <col min="1" max="1" width="12.28515625" bestFit="1" customWidth="1"/>
    <col min="2" max="2" width="34" customWidth="1"/>
    <col min="3" max="3" width="34" style="164" customWidth="1"/>
    <col min="4" max="4" width="23.7109375" customWidth="1"/>
    <col min="5" max="5" width="19.7109375" customWidth="1"/>
    <col min="6" max="6" width="21.5703125" customWidth="1"/>
    <col min="7" max="7" width="19.7109375" bestFit="1" customWidth="1"/>
    <col min="8" max="9" width="8.7109375" style="113"/>
    <col min="10" max="10" width="0" style="113" hidden="1" customWidth="1"/>
    <col min="11" max="38" width="8.7109375" style="113"/>
  </cols>
  <sheetData>
    <row r="1" spans="1:38" s="14" customFormat="1" ht="18.75" x14ac:dyDescent="0.25">
      <c r="A1" s="425" t="str">
        <f>'Cover Sheet'!A1:D1</f>
        <v xml:space="preserve">GHANA CO-OPERATIVE SUSU COLLECTORS ASSOCIATION </v>
      </c>
      <c r="B1" s="425"/>
      <c r="C1" s="425"/>
      <c r="D1" s="425"/>
      <c r="E1" s="157">
        <f>SUM(D4:D10) +  IF(D15&gt;C15,1,0)+  IF(D16&gt;C16,1,0)+  IF(D17&gt;C17,1,0)+  IF(D18&gt;C18,1,0)+  IF(D19&gt;C19,1,0)+  IF(D20&gt;C20,1,0)+  IF(D21&gt;C21,1,0)+  IF(D22&gt;C22,1,0)+  IF(D23&gt;C23,1,0)+  IF(D24&gt;C24,1,0)+  IF(D25&gt;C25,1,0)+  IF(D26&gt;C26,1,0)+  IF(D27&gt;C27,1,0)+  IF(D28&gt;C28,1,0)+  IF(D29&gt;C29,1,0)+  IF(D30&gt;C30,1,0)+  IF(D31&gt;C31,1,0)+  IF(D32&gt;C32,1,0)+  IF(D33&gt;C33,1,0)+  IF(D34&gt;C34,1,0)+  IF(D35&gt;C35,1,0)+  IF(D40&gt;C40,1,0)+  IF(D41&gt;C41,1,0)+  IF(D42&gt;C42,1,0)+  IF(D43&gt;C43,1,0)+  IF(D44&gt;C44,1,0)+  IF(D45&gt;C45,1,0)+  IF(D46&gt;C46,1,0)+  IF(D47&gt;C47,1,0)+  IF(D48&gt;C48,1,0)+  IF(D49&gt;C49,1,0)+  IF(D50&gt;C50,1,0)+  IF(D51&gt;C51,1,0)+  IF(D52&gt;C52,1,0)+  IF(D53&gt;C53,1,0)+  IF(D54&gt;C54,1,0)+  IF(D55&gt;C55,1,0)+  IF(D56&gt;C56,1,0)+  IF(D57&gt;C57,1,0)+  IF(D58&gt;C58,1,0)+  IF(D59&gt;C59,1,0)+  IF(D60&gt;C60,1,0)</f>
        <v>0</v>
      </c>
      <c r="F1" s="157" t="str">
        <f>IF(SUM(D4:D10)=0,"","Error!")</f>
        <v/>
      </c>
      <c r="G1" s="158"/>
    </row>
    <row r="2" spans="1:38" s="14" customFormat="1" ht="18.75" x14ac:dyDescent="0.25">
      <c r="A2" s="425" t="s">
        <v>8</v>
      </c>
      <c r="B2" s="425"/>
      <c r="C2" s="425"/>
      <c r="D2" s="425"/>
      <c r="E2" s="154"/>
      <c r="F2" s="154"/>
    </row>
    <row r="3" spans="1:38" s="13" customFormat="1" ht="15.75" x14ac:dyDescent="0.25">
      <c r="A3" s="15"/>
      <c r="B3" s="10"/>
      <c r="C3" s="159"/>
      <c r="E3" s="8"/>
      <c r="F3" s="11"/>
    </row>
    <row r="4" spans="1:38" s="16" customFormat="1" ht="15.75" x14ac:dyDescent="0.25">
      <c r="B4" s="17" t="s">
        <v>9</v>
      </c>
      <c r="C4" s="23" t="str">
        <f>IF('Cover Sheet'!C4="", "", 'Cover Sheet'!C4)</f>
        <v>QUICK RETURNS SUSU ENTERPRISE</v>
      </c>
      <c r="D4" s="160">
        <f>IF(C4="",1,IF(ISTEXT(C4),0,1))+IF(OR(ISNUMBER(LEFT(C4)),LEFT(C4)=" "),1,0)</f>
        <v>0</v>
      </c>
      <c r="E4" s="51"/>
      <c r="F4" s="18"/>
    </row>
    <row r="5" spans="1:38" s="16" customFormat="1" ht="15.75" x14ac:dyDescent="0.25">
      <c r="B5" s="17" t="s">
        <v>10</v>
      </c>
      <c r="C5" s="50" t="str">
        <f>IF('Cover Sheet'!C5="", "", 'Cover Sheet'!C5)</f>
        <v xml:space="preserve">
GCSCA-GT-0-0000288</v>
      </c>
      <c r="D5" s="160">
        <f>IF(C5="",1,IF(ISTEXT(C5),0,1))+IF(OR(ISNUMBER(LEFT(C5)),LEFT(C5)=" "),1,0)</f>
        <v>0</v>
      </c>
      <c r="E5" s="11"/>
      <c r="F5" s="18"/>
    </row>
    <row r="6" spans="1:38" s="19" customFormat="1" ht="15.75" x14ac:dyDescent="0.25">
      <c r="B6" s="17" t="s">
        <v>11</v>
      </c>
      <c r="C6" s="134" t="str">
        <f>IF('Cover Sheet'!C6="", "", 'Cover Sheet'!C6)</f>
        <v xml:space="preserve">GCSCA-PR-UA </v>
      </c>
      <c r="D6" s="160">
        <f>IF(C6="",1,IF(ISTEXT(C6),0,1))</f>
        <v>0</v>
      </c>
      <c r="E6" s="161"/>
      <c r="F6" s="18"/>
    </row>
    <row r="7" spans="1:38" s="16" customFormat="1" ht="15.75" x14ac:dyDescent="0.25">
      <c r="B7" s="17" t="s">
        <v>12</v>
      </c>
      <c r="C7" s="50" t="str">
        <f>'Acc Receivables &amp; Other Assets'!C7</f>
        <v>JUNE</v>
      </c>
      <c r="D7" s="160">
        <f>IF(C7="",1,IF(ISTEXT(C7),0,1))</f>
        <v>0</v>
      </c>
      <c r="E7" s="11"/>
      <c r="F7" s="18"/>
    </row>
    <row r="8" spans="1:38" s="19" customFormat="1" ht="15.75" x14ac:dyDescent="0.25">
      <c r="B8" s="17" t="s">
        <v>13</v>
      </c>
      <c r="C8" s="133" t="str">
        <f>'Cover Sheet'!C9</f>
        <v>July 2026</v>
      </c>
      <c r="D8" s="160">
        <f>IF(C8="",1, 0)</f>
        <v>0</v>
      </c>
      <c r="E8" s="162"/>
      <c r="F8" s="18"/>
    </row>
    <row r="9" spans="1:38" s="21" customFormat="1" ht="15.75" x14ac:dyDescent="0.25">
      <c r="A9" s="20"/>
      <c r="B9" s="17" t="s">
        <v>14</v>
      </c>
      <c r="C9" s="135" t="str">
        <f>IF('Cover Sheet'!C7="", "", 'Cover Sheet'!C7)</f>
        <v>2026</v>
      </c>
      <c r="D9" s="160">
        <f>IF(C9="",1, 0)</f>
        <v>0</v>
      </c>
      <c r="E9" s="163"/>
      <c r="F9" s="18"/>
    </row>
    <row r="10" spans="1:38" s="21" customFormat="1" ht="15.75" x14ac:dyDescent="0.25">
      <c r="A10" s="20"/>
      <c r="B10" s="17" t="s">
        <v>156</v>
      </c>
      <c r="C10" s="135" t="str">
        <f>IF('Cover Sheet'!C10="", "", 'Cover Sheet'!C10)</f>
        <v>Greater Accra-GA</v>
      </c>
      <c r="D10" s="160">
        <f>IF(C10="",1, 0)</f>
        <v>0</v>
      </c>
      <c r="E10" s="163"/>
      <c r="F10" s="22"/>
    </row>
    <row r="11" spans="1:38" s="21" customFormat="1" ht="15.75" x14ac:dyDescent="0.25">
      <c r="A11" s="20"/>
      <c r="B11" s="270"/>
      <c r="C11" s="163"/>
      <c r="D11" s="160"/>
      <c r="E11" s="163"/>
      <c r="F11" s="22"/>
    </row>
    <row r="12" spans="1:38" s="227" customFormat="1" x14ac:dyDescent="0.25">
      <c r="A12" s="437" t="s">
        <v>259</v>
      </c>
      <c r="B12" s="437"/>
      <c r="C12" s="304"/>
      <c r="D12" s="305">
        <f>SUM(D15,D40)</f>
        <v>0</v>
      </c>
      <c r="E12" s="306"/>
      <c r="F12" s="306"/>
      <c r="G12" s="307"/>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row>
    <row r="13" spans="1:38" s="227" customFormat="1" ht="21" customHeight="1" x14ac:dyDescent="0.25">
      <c r="A13" s="374" t="s">
        <v>195</v>
      </c>
      <c r="B13" s="438" t="s">
        <v>218</v>
      </c>
      <c r="C13" s="439"/>
      <c r="D13" s="439"/>
      <c r="E13" s="439"/>
      <c r="F13" s="439"/>
      <c r="G13" s="440"/>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row>
    <row r="14" spans="1:38" s="227" customFormat="1" ht="29.25" x14ac:dyDescent="0.25">
      <c r="A14" s="296" t="s">
        <v>181</v>
      </c>
      <c r="B14" s="297" t="s">
        <v>224</v>
      </c>
      <c r="C14" s="298" t="s">
        <v>225</v>
      </c>
      <c r="D14" s="299" t="s">
        <v>260</v>
      </c>
      <c r="E14" s="296" t="s">
        <v>197</v>
      </c>
      <c r="F14" s="296" t="s">
        <v>198</v>
      </c>
      <c r="G14" s="296" t="s">
        <v>199</v>
      </c>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row>
    <row r="15" spans="1:38" s="227" customFormat="1" x14ac:dyDescent="0.25">
      <c r="A15" s="303" t="s">
        <v>200</v>
      </c>
      <c r="B15" s="302"/>
      <c r="C15" s="298">
        <f>SUM(C16:C35)</f>
        <v>0</v>
      </c>
      <c r="D15" s="298">
        <f>SUM(D16:D35)</f>
        <v>0</v>
      </c>
      <c r="E15" s="300"/>
      <c r="F15" s="301"/>
      <c r="G15" s="274"/>
      <c r="H15" s="285" t="str">
        <f>IF(D15&gt;C15, "Error!", "")</f>
        <v/>
      </c>
      <c r="I15" s="226"/>
      <c r="J15" s="226">
        <f>IF(D15&gt;C15, 1, 0)</f>
        <v>0</v>
      </c>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row>
    <row r="16" spans="1:38" s="227" customFormat="1" x14ac:dyDescent="0.25">
      <c r="A16" s="177">
        <v>1</v>
      </c>
      <c r="B16" s="261"/>
      <c r="C16" s="286"/>
      <c r="D16" s="295"/>
      <c r="E16" s="264"/>
      <c r="F16" s="264"/>
      <c r="G16" s="265"/>
      <c r="H16" s="285" t="str">
        <f t="shared" ref="H16:H35" si="0">IF(D16&gt;C16, "Error!", "")</f>
        <v/>
      </c>
      <c r="I16" s="226"/>
      <c r="J16" s="226">
        <f t="shared" ref="J16:J35" si="1">IF(D16&gt;C16, 1, 0)</f>
        <v>0</v>
      </c>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row>
    <row r="17" spans="1:38" s="227" customFormat="1" x14ac:dyDescent="0.25">
      <c r="A17" s="177">
        <v>2</v>
      </c>
      <c r="B17" s="261"/>
      <c r="C17" s="286"/>
      <c r="D17" s="295"/>
      <c r="E17" s="264"/>
      <c r="F17" s="264"/>
      <c r="G17" s="265"/>
      <c r="H17" s="285" t="str">
        <f t="shared" si="0"/>
        <v/>
      </c>
      <c r="I17" s="226"/>
      <c r="J17" s="226">
        <f t="shared" si="1"/>
        <v>0</v>
      </c>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row>
    <row r="18" spans="1:38" s="227" customFormat="1" x14ac:dyDescent="0.25">
      <c r="A18" s="177">
        <v>3</v>
      </c>
      <c r="B18" s="261"/>
      <c r="C18" s="286"/>
      <c r="D18" s="295"/>
      <c r="E18" s="264"/>
      <c r="F18" s="264"/>
      <c r="G18" s="265"/>
      <c r="H18" s="285" t="str">
        <f t="shared" si="0"/>
        <v/>
      </c>
      <c r="I18" s="226"/>
      <c r="J18" s="226">
        <f t="shared" si="1"/>
        <v>0</v>
      </c>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row>
    <row r="19" spans="1:38" s="227" customFormat="1" x14ac:dyDescent="0.25">
      <c r="A19" s="177">
        <v>4</v>
      </c>
      <c r="B19" s="261"/>
      <c r="C19" s="286"/>
      <c r="D19" s="295"/>
      <c r="E19" s="264"/>
      <c r="F19" s="264"/>
      <c r="G19" s="265"/>
      <c r="H19" s="285" t="str">
        <f t="shared" si="0"/>
        <v/>
      </c>
      <c r="I19" s="226"/>
      <c r="J19" s="226">
        <f t="shared" si="1"/>
        <v>0</v>
      </c>
      <c r="K19" s="226"/>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row>
    <row r="20" spans="1:38" s="227" customFormat="1" x14ac:dyDescent="0.25">
      <c r="A20" s="177">
        <v>5</v>
      </c>
      <c r="B20" s="261"/>
      <c r="C20" s="295"/>
      <c r="D20" s="295"/>
      <c r="E20" s="264"/>
      <c r="F20" s="264"/>
      <c r="G20" s="265"/>
      <c r="H20" s="285" t="str">
        <f t="shared" si="0"/>
        <v/>
      </c>
      <c r="I20" s="226"/>
      <c r="J20" s="226">
        <f t="shared" si="1"/>
        <v>0</v>
      </c>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row>
    <row r="21" spans="1:38" s="227" customFormat="1" x14ac:dyDescent="0.25">
      <c r="A21" s="177">
        <v>6</v>
      </c>
      <c r="B21" s="261"/>
      <c r="C21" s="286"/>
      <c r="D21" s="295"/>
      <c r="E21" s="264"/>
      <c r="F21" s="264"/>
      <c r="G21" s="265"/>
      <c r="H21" s="285" t="str">
        <f t="shared" si="0"/>
        <v/>
      </c>
      <c r="I21" s="226"/>
      <c r="J21" s="226">
        <f t="shared" si="1"/>
        <v>0</v>
      </c>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row>
    <row r="22" spans="1:38" s="227" customFormat="1" x14ac:dyDescent="0.25">
      <c r="A22" s="177">
        <v>7</v>
      </c>
      <c r="B22" s="261"/>
      <c r="C22" s="286"/>
      <c r="D22" s="295"/>
      <c r="E22" s="264"/>
      <c r="F22" s="264"/>
      <c r="G22" s="265"/>
      <c r="H22" s="285" t="str">
        <f t="shared" si="0"/>
        <v/>
      </c>
      <c r="I22" s="226"/>
      <c r="J22" s="226">
        <f t="shared" si="1"/>
        <v>0</v>
      </c>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row>
    <row r="23" spans="1:38" s="227" customFormat="1" x14ac:dyDescent="0.25">
      <c r="A23" s="177">
        <v>8</v>
      </c>
      <c r="B23" s="261"/>
      <c r="C23" s="286"/>
      <c r="D23" s="295"/>
      <c r="E23" s="264"/>
      <c r="F23" s="264"/>
      <c r="G23" s="265"/>
      <c r="H23" s="285" t="str">
        <f t="shared" si="0"/>
        <v/>
      </c>
      <c r="I23" s="226"/>
      <c r="J23" s="226">
        <f t="shared" si="1"/>
        <v>0</v>
      </c>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row>
    <row r="24" spans="1:38" s="227" customFormat="1" x14ac:dyDescent="0.25">
      <c r="A24" s="177">
        <v>9</v>
      </c>
      <c r="B24" s="261"/>
      <c r="C24" s="286"/>
      <c r="D24" s="295"/>
      <c r="E24" s="264"/>
      <c r="F24" s="264"/>
      <c r="G24" s="265"/>
      <c r="H24" s="285" t="str">
        <f t="shared" si="0"/>
        <v/>
      </c>
      <c r="I24" s="226"/>
      <c r="J24" s="226">
        <f t="shared" si="1"/>
        <v>0</v>
      </c>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row>
    <row r="25" spans="1:38" s="227" customFormat="1" x14ac:dyDescent="0.25">
      <c r="A25" s="177">
        <v>10</v>
      </c>
      <c r="B25" s="261"/>
      <c r="C25" s="286"/>
      <c r="D25" s="295"/>
      <c r="E25" s="264"/>
      <c r="F25" s="264"/>
      <c r="G25" s="265"/>
      <c r="H25" s="285" t="str">
        <f t="shared" si="0"/>
        <v/>
      </c>
      <c r="I25" s="226"/>
      <c r="J25" s="226">
        <f t="shared" si="1"/>
        <v>0</v>
      </c>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row>
    <row r="26" spans="1:38" s="227" customFormat="1" x14ac:dyDescent="0.25">
      <c r="A26" s="177">
        <v>11</v>
      </c>
      <c r="B26" s="261"/>
      <c r="C26" s="286"/>
      <c r="D26" s="295"/>
      <c r="E26" s="264"/>
      <c r="F26" s="264"/>
      <c r="G26" s="265"/>
      <c r="H26" s="285" t="str">
        <f t="shared" si="0"/>
        <v/>
      </c>
      <c r="I26" s="226"/>
      <c r="J26" s="226">
        <f t="shared" si="1"/>
        <v>0</v>
      </c>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row>
    <row r="27" spans="1:38" s="227" customFormat="1" x14ac:dyDescent="0.25">
      <c r="A27" s="177">
        <v>12</v>
      </c>
      <c r="B27" s="261"/>
      <c r="C27" s="286"/>
      <c r="D27" s="295"/>
      <c r="E27" s="264"/>
      <c r="F27" s="264"/>
      <c r="G27" s="265"/>
      <c r="H27" s="285" t="str">
        <f t="shared" si="0"/>
        <v/>
      </c>
      <c r="I27" s="226"/>
      <c r="J27" s="226">
        <f t="shared" si="1"/>
        <v>0</v>
      </c>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row>
    <row r="28" spans="1:38" s="227" customFormat="1" x14ac:dyDescent="0.25">
      <c r="A28" s="177">
        <v>13</v>
      </c>
      <c r="B28" s="261"/>
      <c r="C28" s="286"/>
      <c r="D28" s="295"/>
      <c r="E28" s="264"/>
      <c r="F28" s="264"/>
      <c r="G28" s="265"/>
      <c r="H28" s="285" t="str">
        <f t="shared" si="0"/>
        <v/>
      </c>
      <c r="I28" s="226"/>
      <c r="J28" s="226">
        <f t="shared" si="1"/>
        <v>0</v>
      </c>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row>
    <row r="29" spans="1:38" s="227" customFormat="1" x14ac:dyDescent="0.25">
      <c r="A29" s="177">
        <v>14</v>
      </c>
      <c r="B29" s="261"/>
      <c r="C29" s="286"/>
      <c r="D29" s="295"/>
      <c r="E29" s="264"/>
      <c r="F29" s="264"/>
      <c r="G29" s="265"/>
      <c r="H29" s="285" t="str">
        <f t="shared" si="0"/>
        <v/>
      </c>
      <c r="I29" s="226"/>
      <c r="J29" s="226">
        <f t="shared" si="1"/>
        <v>0</v>
      </c>
      <c r="K29" s="226"/>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row>
    <row r="30" spans="1:38" s="227" customFormat="1" x14ac:dyDescent="0.25">
      <c r="A30" s="177">
        <v>15</v>
      </c>
      <c r="B30" s="261"/>
      <c r="C30" s="286"/>
      <c r="D30" s="295"/>
      <c r="E30" s="264"/>
      <c r="F30" s="264"/>
      <c r="G30" s="265"/>
      <c r="H30" s="285" t="str">
        <f t="shared" si="0"/>
        <v/>
      </c>
      <c r="I30" s="226"/>
      <c r="J30" s="226">
        <f t="shared" si="1"/>
        <v>0</v>
      </c>
      <c r="K30" s="226"/>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c r="AJ30" s="226"/>
      <c r="AK30" s="226"/>
      <c r="AL30" s="226"/>
    </row>
    <row r="31" spans="1:38" s="227" customFormat="1" x14ac:dyDescent="0.25">
      <c r="A31" s="177">
        <v>16</v>
      </c>
      <c r="B31" s="261"/>
      <c r="C31" s="286"/>
      <c r="D31" s="295"/>
      <c r="E31" s="264"/>
      <c r="F31" s="264"/>
      <c r="G31" s="265"/>
      <c r="H31" s="285" t="str">
        <f t="shared" si="0"/>
        <v/>
      </c>
      <c r="I31" s="226"/>
      <c r="J31" s="226">
        <f t="shared" si="1"/>
        <v>0</v>
      </c>
      <c r="K31" s="226"/>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I31" s="226"/>
      <c r="AJ31" s="226"/>
      <c r="AK31" s="226"/>
      <c r="AL31" s="226"/>
    </row>
    <row r="32" spans="1:38" s="227" customFormat="1" x14ac:dyDescent="0.25">
      <c r="A32" s="177">
        <v>17</v>
      </c>
      <c r="B32" s="261"/>
      <c r="C32" s="286"/>
      <c r="D32" s="295"/>
      <c r="E32" s="264"/>
      <c r="F32" s="264"/>
      <c r="G32" s="265"/>
      <c r="H32" s="285" t="str">
        <f t="shared" si="0"/>
        <v/>
      </c>
      <c r="I32" s="226"/>
      <c r="J32" s="226">
        <f t="shared" si="1"/>
        <v>0</v>
      </c>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row>
    <row r="33" spans="1:38" s="227" customFormat="1" x14ac:dyDescent="0.25">
      <c r="A33" s="177">
        <v>18</v>
      </c>
      <c r="B33" s="261"/>
      <c r="C33" s="286"/>
      <c r="D33" s="295"/>
      <c r="E33" s="264"/>
      <c r="F33" s="264"/>
      <c r="G33" s="265"/>
      <c r="H33" s="285" t="str">
        <f t="shared" si="0"/>
        <v/>
      </c>
      <c r="I33" s="226"/>
      <c r="J33" s="226">
        <f t="shared" si="1"/>
        <v>0</v>
      </c>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row>
    <row r="34" spans="1:38" s="227" customFormat="1" x14ac:dyDescent="0.25">
      <c r="A34" s="177">
        <v>19</v>
      </c>
      <c r="B34" s="261"/>
      <c r="C34" s="286"/>
      <c r="D34" s="295"/>
      <c r="E34" s="264"/>
      <c r="F34" s="264"/>
      <c r="G34" s="265"/>
      <c r="H34" s="285" t="str">
        <f t="shared" si="0"/>
        <v/>
      </c>
      <c r="I34" s="226"/>
      <c r="J34" s="226">
        <f t="shared" si="1"/>
        <v>0</v>
      </c>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row>
    <row r="35" spans="1:38" s="227" customFormat="1" x14ac:dyDescent="0.25">
      <c r="A35" s="177">
        <v>20</v>
      </c>
      <c r="B35" s="261"/>
      <c r="C35" s="286"/>
      <c r="D35" s="295"/>
      <c r="E35" s="264"/>
      <c r="F35" s="264"/>
      <c r="G35" s="265"/>
      <c r="H35" s="285" t="str">
        <f t="shared" si="0"/>
        <v/>
      </c>
      <c r="I35" s="226"/>
      <c r="J35" s="226">
        <f t="shared" si="1"/>
        <v>0</v>
      </c>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row>
    <row r="36" spans="1:38" s="226" customFormat="1" x14ac:dyDescent="0.25">
      <c r="A36" s="188"/>
      <c r="B36" s="287"/>
      <c r="C36" s="288"/>
      <c r="D36" s="289"/>
      <c r="E36" s="290"/>
      <c r="F36" s="290"/>
      <c r="G36" s="291"/>
    </row>
    <row r="37" spans="1:38" s="226" customFormat="1" x14ac:dyDescent="0.25">
      <c r="A37" s="188"/>
      <c r="B37" s="287"/>
      <c r="C37" s="288"/>
      <c r="D37" s="289"/>
      <c r="E37" s="290"/>
      <c r="F37" s="290"/>
      <c r="G37" s="291"/>
    </row>
    <row r="38" spans="1:38" s="227" customFormat="1" ht="21" customHeight="1" x14ac:dyDescent="0.25">
      <c r="A38" s="272"/>
      <c r="B38" s="434" t="s">
        <v>219</v>
      </c>
      <c r="C38" s="435"/>
      <c r="D38" s="435"/>
      <c r="E38" s="435"/>
      <c r="F38" s="435"/>
      <c r="G38" s="436"/>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row>
    <row r="39" spans="1:38" s="227" customFormat="1" ht="29.25" x14ac:dyDescent="0.25">
      <c r="A39" s="296" t="s">
        <v>182</v>
      </c>
      <c r="B39" s="297" t="s">
        <v>196</v>
      </c>
      <c r="C39" s="292" t="s">
        <v>225</v>
      </c>
      <c r="D39" s="293" t="s">
        <v>260</v>
      </c>
      <c r="E39" s="257" t="s">
        <v>197</v>
      </c>
      <c r="F39" s="257" t="s">
        <v>198</v>
      </c>
      <c r="G39" s="257" t="s">
        <v>199</v>
      </c>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row>
    <row r="40" spans="1:38" s="227" customFormat="1" x14ac:dyDescent="0.25">
      <c r="A40" s="274" t="s">
        <v>201</v>
      </c>
      <c r="B40" s="303"/>
      <c r="C40" s="294">
        <f>SUM(C41:C60)</f>
        <v>0</v>
      </c>
      <c r="D40" s="294">
        <f>SUM(D41:D60)</f>
        <v>0</v>
      </c>
      <c r="E40" s="266"/>
      <c r="F40" s="266"/>
      <c r="G40" s="266"/>
      <c r="H40" s="285" t="str">
        <f>IF(D40&gt;C40, "Error!", "")</f>
        <v/>
      </c>
      <c r="I40" s="226"/>
      <c r="J40" s="226">
        <f>IF(D40&gt;C40, 1, 0)</f>
        <v>0</v>
      </c>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row>
    <row r="41" spans="1:38" s="227" customFormat="1" x14ac:dyDescent="0.25">
      <c r="A41" s="177">
        <v>1</v>
      </c>
      <c r="B41" s="261"/>
      <c r="C41" s="286"/>
      <c r="D41" s="295"/>
      <c r="E41" s="264"/>
      <c r="F41" s="264"/>
      <c r="G41" s="265"/>
      <c r="H41" s="285" t="str">
        <f t="shared" ref="H41:H60" si="2">IF(D41&gt;C41, "Error!", "")</f>
        <v/>
      </c>
      <c r="I41" s="226"/>
      <c r="J41" s="226">
        <f t="shared" ref="J41:J60" si="3">IF(D41&gt;C41, 1, 0)</f>
        <v>0</v>
      </c>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row>
    <row r="42" spans="1:38" s="227" customFormat="1" x14ac:dyDescent="0.25">
      <c r="A42" s="177">
        <v>2</v>
      </c>
      <c r="B42" s="261"/>
      <c r="C42" s="286"/>
      <c r="D42" s="295"/>
      <c r="E42" s="264"/>
      <c r="F42" s="264"/>
      <c r="G42" s="265"/>
      <c r="H42" s="285" t="str">
        <f t="shared" si="2"/>
        <v/>
      </c>
      <c r="I42" s="226"/>
      <c r="J42" s="226">
        <f t="shared" si="3"/>
        <v>0</v>
      </c>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row>
    <row r="43" spans="1:38" s="227" customFormat="1" x14ac:dyDescent="0.25">
      <c r="A43" s="177">
        <v>3</v>
      </c>
      <c r="B43" s="261"/>
      <c r="C43" s="286"/>
      <c r="D43" s="295"/>
      <c r="E43" s="264"/>
      <c r="F43" s="264"/>
      <c r="G43" s="265"/>
      <c r="H43" s="285" t="str">
        <f t="shared" si="2"/>
        <v/>
      </c>
      <c r="I43" s="226"/>
      <c r="J43" s="226">
        <f t="shared" si="3"/>
        <v>0</v>
      </c>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row>
    <row r="44" spans="1:38" s="227" customFormat="1" x14ac:dyDescent="0.25">
      <c r="A44" s="177">
        <v>4</v>
      </c>
      <c r="B44" s="261"/>
      <c r="C44" s="286"/>
      <c r="D44" s="295"/>
      <c r="E44" s="264"/>
      <c r="F44" s="264"/>
      <c r="G44" s="265"/>
      <c r="H44" s="285" t="str">
        <f t="shared" si="2"/>
        <v/>
      </c>
      <c r="I44" s="226"/>
      <c r="J44" s="226">
        <f t="shared" si="3"/>
        <v>0</v>
      </c>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row>
    <row r="45" spans="1:38" s="227" customFormat="1" x14ac:dyDescent="0.25">
      <c r="A45" s="177">
        <v>5</v>
      </c>
      <c r="B45" s="261"/>
      <c r="C45" s="286"/>
      <c r="D45" s="295"/>
      <c r="E45" s="264"/>
      <c r="F45" s="264"/>
      <c r="G45" s="265"/>
      <c r="H45" s="285" t="str">
        <f t="shared" si="2"/>
        <v/>
      </c>
      <c r="I45" s="226"/>
      <c r="J45" s="226">
        <f t="shared" si="3"/>
        <v>0</v>
      </c>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row>
    <row r="46" spans="1:38" s="227" customFormat="1" x14ac:dyDescent="0.25">
      <c r="A46" s="177">
        <v>6</v>
      </c>
      <c r="B46" s="261"/>
      <c r="C46" s="286"/>
      <c r="D46" s="295"/>
      <c r="E46" s="264"/>
      <c r="F46" s="264"/>
      <c r="G46" s="265"/>
      <c r="H46" s="285" t="str">
        <f t="shared" si="2"/>
        <v/>
      </c>
      <c r="I46" s="226"/>
      <c r="J46" s="226">
        <f t="shared" si="3"/>
        <v>0</v>
      </c>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row>
    <row r="47" spans="1:38" s="227" customFormat="1" x14ac:dyDescent="0.25">
      <c r="A47" s="177">
        <v>7</v>
      </c>
      <c r="B47" s="261"/>
      <c r="C47" s="286"/>
      <c r="D47" s="295"/>
      <c r="E47" s="264"/>
      <c r="F47" s="264"/>
      <c r="G47" s="265"/>
      <c r="H47" s="285" t="str">
        <f t="shared" si="2"/>
        <v/>
      </c>
      <c r="I47" s="226"/>
      <c r="J47" s="226">
        <f t="shared" si="3"/>
        <v>0</v>
      </c>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row>
    <row r="48" spans="1:38" s="227" customFormat="1" x14ac:dyDescent="0.25">
      <c r="A48" s="177">
        <v>8</v>
      </c>
      <c r="B48" s="261"/>
      <c r="C48" s="286"/>
      <c r="D48" s="295"/>
      <c r="E48" s="264"/>
      <c r="F48" s="264"/>
      <c r="G48" s="265"/>
      <c r="H48" s="285" t="str">
        <f t="shared" si="2"/>
        <v/>
      </c>
      <c r="I48" s="226"/>
      <c r="J48" s="226">
        <f t="shared" si="3"/>
        <v>0</v>
      </c>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row>
    <row r="49" spans="1:38" s="227" customFormat="1" x14ac:dyDescent="0.25">
      <c r="A49" s="177">
        <v>9</v>
      </c>
      <c r="B49" s="261"/>
      <c r="C49" s="286"/>
      <c r="D49" s="295"/>
      <c r="E49" s="264"/>
      <c r="F49" s="264"/>
      <c r="G49" s="265"/>
      <c r="H49" s="285" t="str">
        <f t="shared" si="2"/>
        <v/>
      </c>
      <c r="I49" s="226"/>
      <c r="J49" s="226">
        <f t="shared" si="3"/>
        <v>0</v>
      </c>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row>
    <row r="50" spans="1:38" s="227" customFormat="1" x14ac:dyDescent="0.25">
      <c r="A50" s="177">
        <v>10</v>
      </c>
      <c r="B50" s="261"/>
      <c r="C50" s="286"/>
      <c r="D50" s="295"/>
      <c r="E50" s="264"/>
      <c r="F50" s="264"/>
      <c r="G50" s="265"/>
      <c r="H50" s="285" t="str">
        <f t="shared" si="2"/>
        <v/>
      </c>
      <c r="I50" s="226"/>
      <c r="J50" s="226">
        <f t="shared" si="3"/>
        <v>0</v>
      </c>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row>
    <row r="51" spans="1:38" s="227" customFormat="1" x14ac:dyDescent="0.25">
      <c r="A51" s="177">
        <v>11</v>
      </c>
      <c r="B51" s="261"/>
      <c r="C51" s="286"/>
      <c r="D51" s="295"/>
      <c r="E51" s="264"/>
      <c r="F51" s="264"/>
      <c r="G51" s="265"/>
      <c r="H51" s="285" t="str">
        <f t="shared" si="2"/>
        <v/>
      </c>
      <c r="I51" s="226"/>
      <c r="J51" s="226">
        <f t="shared" si="3"/>
        <v>0</v>
      </c>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row>
    <row r="52" spans="1:38" s="227" customFormat="1" x14ac:dyDescent="0.25">
      <c r="A52" s="177">
        <v>12</v>
      </c>
      <c r="B52" s="261"/>
      <c r="C52" s="286"/>
      <c r="D52" s="295"/>
      <c r="E52" s="264"/>
      <c r="F52" s="264"/>
      <c r="G52" s="265"/>
      <c r="H52" s="285" t="str">
        <f t="shared" si="2"/>
        <v/>
      </c>
      <c r="I52" s="226"/>
      <c r="J52" s="226">
        <f t="shared" si="3"/>
        <v>0</v>
      </c>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row>
    <row r="53" spans="1:38" s="227" customFormat="1" x14ac:dyDescent="0.25">
      <c r="A53" s="177">
        <v>13</v>
      </c>
      <c r="B53" s="261"/>
      <c r="C53" s="286"/>
      <c r="D53" s="295"/>
      <c r="E53" s="264"/>
      <c r="F53" s="264"/>
      <c r="G53" s="265"/>
      <c r="H53" s="285" t="str">
        <f t="shared" si="2"/>
        <v/>
      </c>
      <c r="I53" s="226"/>
      <c r="J53" s="226">
        <f t="shared" si="3"/>
        <v>0</v>
      </c>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row>
    <row r="54" spans="1:38" s="227" customFormat="1" x14ac:dyDescent="0.25">
      <c r="A54" s="177">
        <v>14</v>
      </c>
      <c r="B54" s="261"/>
      <c r="C54" s="286"/>
      <c r="D54" s="295"/>
      <c r="E54" s="264"/>
      <c r="F54" s="264"/>
      <c r="G54" s="265"/>
      <c r="H54" s="285" t="str">
        <f t="shared" si="2"/>
        <v/>
      </c>
      <c r="I54" s="226"/>
      <c r="J54" s="226">
        <f t="shared" si="3"/>
        <v>0</v>
      </c>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row>
    <row r="55" spans="1:38" s="227" customFormat="1" x14ac:dyDescent="0.25">
      <c r="A55" s="177">
        <v>15</v>
      </c>
      <c r="B55" s="261"/>
      <c r="C55" s="286"/>
      <c r="D55" s="295"/>
      <c r="E55" s="264"/>
      <c r="F55" s="264"/>
      <c r="G55" s="265"/>
      <c r="H55" s="285" t="str">
        <f t="shared" si="2"/>
        <v/>
      </c>
      <c r="I55" s="226"/>
      <c r="J55" s="226">
        <f t="shared" si="3"/>
        <v>0</v>
      </c>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row>
    <row r="56" spans="1:38" s="227" customFormat="1" x14ac:dyDescent="0.25">
      <c r="A56" s="177">
        <v>16</v>
      </c>
      <c r="B56" s="261"/>
      <c r="C56" s="286"/>
      <c r="D56" s="295"/>
      <c r="E56" s="264"/>
      <c r="F56" s="264"/>
      <c r="G56" s="265"/>
      <c r="H56" s="285" t="str">
        <f t="shared" si="2"/>
        <v/>
      </c>
      <c r="I56" s="226"/>
      <c r="J56" s="226">
        <f t="shared" si="3"/>
        <v>0</v>
      </c>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row>
    <row r="57" spans="1:38" s="227" customFormat="1" x14ac:dyDescent="0.25">
      <c r="A57" s="177">
        <v>17</v>
      </c>
      <c r="B57" s="261"/>
      <c r="C57" s="286"/>
      <c r="D57" s="295"/>
      <c r="E57" s="264"/>
      <c r="F57" s="264"/>
      <c r="G57" s="265"/>
      <c r="H57" s="285" t="str">
        <f t="shared" si="2"/>
        <v/>
      </c>
      <c r="I57" s="226"/>
      <c r="J57" s="226">
        <f t="shared" si="3"/>
        <v>0</v>
      </c>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row>
    <row r="58" spans="1:38" s="227" customFormat="1" x14ac:dyDescent="0.25">
      <c r="A58" s="177">
        <v>18</v>
      </c>
      <c r="B58" s="261"/>
      <c r="C58" s="286"/>
      <c r="D58" s="295"/>
      <c r="E58" s="264"/>
      <c r="F58" s="264"/>
      <c r="G58" s="265"/>
      <c r="H58" s="285" t="str">
        <f t="shared" si="2"/>
        <v/>
      </c>
      <c r="I58" s="226"/>
      <c r="J58" s="226">
        <f t="shared" si="3"/>
        <v>0</v>
      </c>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row>
    <row r="59" spans="1:38" s="227" customFormat="1" x14ac:dyDescent="0.25">
      <c r="A59" s="177">
        <v>19</v>
      </c>
      <c r="B59" s="261"/>
      <c r="C59" s="286"/>
      <c r="D59" s="295"/>
      <c r="E59" s="264"/>
      <c r="F59" s="264"/>
      <c r="G59" s="265"/>
      <c r="H59" s="285" t="str">
        <f t="shared" si="2"/>
        <v/>
      </c>
      <c r="I59" s="226"/>
      <c r="J59" s="226">
        <f t="shared" si="3"/>
        <v>0</v>
      </c>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row>
    <row r="60" spans="1:38" s="227" customFormat="1" x14ac:dyDescent="0.25">
      <c r="A60" s="177">
        <v>20</v>
      </c>
      <c r="B60" s="261"/>
      <c r="C60" s="286"/>
      <c r="D60" s="295"/>
      <c r="E60" s="264"/>
      <c r="F60" s="264"/>
      <c r="G60" s="265"/>
      <c r="H60" s="285" t="str">
        <f t="shared" si="2"/>
        <v/>
      </c>
      <c r="I60" s="226"/>
      <c r="J60" s="226">
        <f t="shared" si="3"/>
        <v>0</v>
      </c>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row>
    <row r="61" spans="1:38" s="113" customFormat="1" x14ac:dyDescent="0.25">
      <c r="C61" s="167"/>
    </row>
    <row r="62" spans="1:38" s="113" customFormat="1" x14ac:dyDescent="0.25">
      <c r="C62" s="167"/>
    </row>
    <row r="63" spans="1:38" s="113" customFormat="1" x14ac:dyDescent="0.25">
      <c r="C63" s="167"/>
      <c r="J63" s="168">
        <f>SUM(J15:J35) + SUM(J40:J60)</f>
        <v>0</v>
      </c>
    </row>
    <row r="64" spans="1:38" s="113" customFormat="1" x14ac:dyDescent="0.25">
      <c r="C64" s="167"/>
    </row>
    <row r="65" spans="3:3" s="113" customFormat="1" x14ac:dyDescent="0.25">
      <c r="C65" s="167"/>
    </row>
    <row r="66" spans="3:3" s="113" customFormat="1" x14ac:dyDescent="0.25">
      <c r="C66" s="167"/>
    </row>
    <row r="67" spans="3:3" s="113" customFormat="1" x14ac:dyDescent="0.25">
      <c r="C67" s="167"/>
    </row>
    <row r="68" spans="3:3" s="113" customFormat="1" x14ac:dyDescent="0.25">
      <c r="C68" s="167"/>
    </row>
    <row r="69" spans="3:3" s="113" customFormat="1" x14ac:dyDescent="0.25">
      <c r="C69" s="167"/>
    </row>
    <row r="70" spans="3:3" s="113" customFormat="1" x14ac:dyDescent="0.25">
      <c r="C70" s="167"/>
    </row>
    <row r="71" spans="3:3" s="113" customFormat="1" x14ac:dyDescent="0.25">
      <c r="C71" s="167"/>
    </row>
    <row r="72" spans="3:3" s="113" customFormat="1" x14ac:dyDescent="0.25">
      <c r="C72" s="167"/>
    </row>
    <row r="73" spans="3:3" s="113" customFormat="1" x14ac:dyDescent="0.25">
      <c r="C73" s="167"/>
    </row>
    <row r="74" spans="3:3" s="113" customFormat="1" x14ac:dyDescent="0.25">
      <c r="C74" s="167"/>
    </row>
    <row r="75" spans="3:3" s="113" customFormat="1" x14ac:dyDescent="0.25">
      <c r="C75" s="167"/>
    </row>
    <row r="76" spans="3:3" s="113" customFormat="1" x14ac:dyDescent="0.25">
      <c r="C76" s="167"/>
    </row>
    <row r="77" spans="3:3" s="113" customFormat="1" x14ac:dyDescent="0.25">
      <c r="C77" s="167"/>
    </row>
    <row r="78" spans="3:3" s="113" customFormat="1" x14ac:dyDescent="0.25">
      <c r="C78" s="167"/>
    </row>
    <row r="79" spans="3:3" s="113" customFormat="1" x14ac:dyDescent="0.25">
      <c r="C79" s="167"/>
    </row>
    <row r="80" spans="3:3" s="113" customFormat="1" x14ac:dyDescent="0.25">
      <c r="C80" s="167"/>
    </row>
    <row r="81" spans="3:3" s="113" customFormat="1" x14ac:dyDescent="0.25">
      <c r="C81" s="167"/>
    </row>
    <row r="82" spans="3:3" s="113" customFormat="1" x14ac:dyDescent="0.25">
      <c r="C82" s="167"/>
    </row>
    <row r="83" spans="3:3" s="113" customFormat="1" x14ac:dyDescent="0.25">
      <c r="C83" s="167"/>
    </row>
    <row r="84" spans="3:3" s="113" customFormat="1" x14ac:dyDescent="0.25">
      <c r="C84" s="167"/>
    </row>
    <row r="85" spans="3:3" s="113" customFormat="1" x14ac:dyDescent="0.25">
      <c r="C85" s="167"/>
    </row>
    <row r="86" spans="3:3" s="113" customFormat="1" x14ac:dyDescent="0.25">
      <c r="C86" s="167"/>
    </row>
    <row r="87" spans="3:3" s="113" customFormat="1" x14ac:dyDescent="0.25">
      <c r="C87" s="167"/>
    </row>
    <row r="88" spans="3:3" s="113" customFormat="1" x14ac:dyDescent="0.25">
      <c r="C88" s="167"/>
    </row>
    <row r="89" spans="3:3" s="113" customFormat="1" x14ac:dyDescent="0.25">
      <c r="C89" s="167"/>
    </row>
    <row r="90" spans="3:3" s="113" customFormat="1" x14ac:dyDescent="0.25">
      <c r="C90" s="167"/>
    </row>
    <row r="91" spans="3:3" s="113" customFormat="1" x14ac:dyDescent="0.25">
      <c r="C91" s="167"/>
    </row>
    <row r="92" spans="3:3" s="113" customFormat="1" x14ac:dyDescent="0.25">
      <c r="C92" s="167"/>
    </row>
    <row r="93" spans="3:3" s="113" customFormat="1" x14ac:dyDescent="0.25">
      <c r="C93" s="167"/>
    </row>
    <row r="94" spans="3:3" s="113" customFormat="1" x14ac:dyDescent="0.25">
      <c r="C94" s="167"/>
    </row>
    <row r="95" spans="3:3" s="113" customFormat="1" x14ac:dyDescent="0.25">
      <c r="C95" s="167"/>
    </row>
    <row r="96" spans="3:3" s="113" customFormat="1" x14ac:dyDescent="0.25">
      <c r="C96" s="167"/>
    </row>
    <row r="97" spans="3:3" s="113" customFormat="1" x14ac:dyDescent="0.25">
      <c r="C97" s="167"/>
    </row>
    <row r="98" spans="3:3" s="113" customFormat="1" x14ac:dyDescent="0.25">
      <c r="C98" s="167"/>
    </row>
    <row r="99" spans="3:3" s="113" customFormat="1" x14ac:dyDescent="0.25">
      <c r="C99" s="167"/>
    </row>
    <row r="100" spans="3:3" s="113" customFormat="1" x14ac:dyDescent="0.25">
      <c r="C100" s="167"/>
    </row>
    <row r="101" spans="3:3" s="113" customFormat="1" x14ac:dyDescent="0.25">
      <c r="C101" s="167"/>
    </row>
    <row r="102" spans="3:3" s="113" customFormat="1" x14ac:dyDescent="0.25">
      <c r="C102" s="167"/>
    </row>
    <row r="103" spans="3:3" s="113" customFormat="1" x14ac:dyDescent="0.25">
      <c r="C103" s="167"/>
    </row>
    <row r="104" spans="3:3" s="113" customFormat="1" x14ac:dyDescent="0.25">
      <c r="C104" s="167"/>
    </row>
    <row r="105" spans="3:3" s="113" customFormat="1" x14ac:dyDescent="0.25">
      <c r="C105" s="167"/>
    </row>
    <row r="106" spans="3:3" s="113" customFormat="1" x14ac:dyDescent="0.25">
      <c r="C106" s="167"/>
    </row>
    <row r="107" spans="3:3" s="113" customFormat="1" x14ac:dyDescent="0.25">
      <c r="C107" s="167"/>
    </row>
    <row r="108" spans="3:3" s="113" customFormat="1" x14ac:dyDescent="0.25">
      <c r="C108" s="167"/>
    </row>
    <row r="109" spans="3:3" s="113" customFormat="1" x14ac:dyDescent="0.25">
      <c r="C109" s="167"/>
    </row>
    <row r="110" spans="3:3" s="113" customFormat="1" x14ac:dyDescent="0.25">
      <c r="C110" s="167"/>
    </row>
    <row r="111" spans="3:3" s="113" customFormat="1" x14ac:dyDescent="0.25">
      <c r="C111" s="167"/>
    </row>
    <row r="112" spans="3:3" s="113" customFormat="1" x14ac:dyDescent="0.25">
      <c r="C112" s="167"/>
    </row>
    <row r="113" spans="3:3" s="113" customFormat="1" x14ac:dyDescent="0.25">
      <c r="C113" s="167"/>
    </row>
    <row r="114" spans="3:3" s="113" customFormat="1" x14ac:dyDescent="0.25">
      <c r="C114" s="167"/>
    </row>
    <row r="115" spans="3:3" s="113" customFormat="1" x14ac:dyDescent="0.25">
      <c r="C115" s="167"/>
    </row>
    <row r="116" spans="3:3" s="113" customFormat="1" x14ac:dyDescent="0.25">
      <c r="C116" s="167"/>
    </row>
    <row r="117" spans="3:3" s="113" customFormat="1" x14ac:dyDescent="0.25">
      <c r="C117" s="167"/>
    </row>
    <row r="118" spans="3:3" s="113" customFormat="1" x14ac:dyDescent="0.25">
      <c r="C118" s="167"/>
    </row>
    <row r="119" spans="3:3" s="113" customFormat="1" x14ac:dyDescent="0.25">
      <c r="C119" s="167"/>
    </row>
    <row r="120" spans="3:3" s="113" customFormat="1" x14ac:dyDescent="0.25">
      <c r="C120" s="167"/>
    </row>
    <row r="121" spans="3:3" s="113" customFormat="1" x14ac:dyDescent="0.25">
      <c r="C121" s="167"/>
    </row>
    <row r="122" spans="3:3" s="113" customFormat="1" x14ac:dyDescent="0.25">
      <c r="C122" s="167"/>
    </row>
    <row r="123" spans="3:3" s="113" customFormat="1" x14ac:dyDescent="0.25">
      <c r="C123" s="167"/>
    </row>
    <row r="124" spans="3:3" s="113" customFormat="1" x14ac:dyDescent="0.25">
      <c r="C124" s="167"/>
    </row>
    <row r="125" spans="3:3" s="113" customFormat="1" x14ac:dyDescent="0.25">
      <c r="C125" s="167"/>
    </row>
    <row r="126" spans="3:3" s="113" customFormat="1" x14ac:dyDescent="0.25">
      <c r="C126" s="167"/>
    </row>
    <row r="127" spans="3:3" s="113" customFormat="1" x14ac:dyDescent="0.25">
      <c r="C127" s="167"/>
    </row>
    <row r="128" spans="3:3" s="113" customFormat="1" x14ac:dyDescent="0.25">
      <c r="C128" s="167"/>
    </row>
    <row r="129" spans="3:3" s="113" customFormat="1" x14ac:dyDescent="0.25">
      <c r="C129" s="167"/>
    </row>
    <row r="130" spans="3:3" s="113" customFormat="1" x14ac:dyDescent="0.25">
      <c r="C130" s="167"/>
    </row>
    <row r="131" spans="3:3" s="113" customFormat="1" x14ac:dyDescent="0.25">
      <c r="C131" s="167"/>
    </row>
    <row r="132" spans="3:3" s="113" customFormat="1" x14ac:dyDescent="0.25">
      <c r="C132" s="167"/>
    </row>
    <row r="133" spans="3:3" s="113" customFormat="1" x14ac:dyDescent="0.25">
      <c r="C133" s="167"/>
    </row>
    <row r="134" spans="3:3" s="113" customFormat="1" x14ac:dyDescent="0.25">
      <c r="C134" s="167"/>
    </row>
    <row r="135" spans="3:3" s="113" customFormat="1" x14ac:dyDescent="0.25">
      <c r="C135" s="167"/>
    </row>
    <row r="136" spans="3:3" s="113" customFormat="1" x14ac:dyDescent="0.25">
      <c r="C136" s="167"/>
    </row>
    <row r="137" spans="3:3" s="113" customFormat="1" x14ac:dyDescent="0.25">
      <c r="C137" s="167"/>
    </row>
    <row r="138" spans="3:3" s="113" customFormat="1" x14ac:dyDescent="0.25">
      <c r="C138" s="167"/>
    </row>
    <row r="139" spans="3:3" s="113" customFormat="1" x14ac:dyDescent="0.25">
      <c r="C139" s="167"/>
    </row>
    <row r="140" spans="3:3" s="113" customFormat="1" x14ac:dyDescent="0.25">
      <c r="C140" s="167"/>
    </row>
    <row r="141" spans="3:3" s="113" customFormat="1" x14ac:dyDescent="0.25">
      <c r="C141" s="167"/>
    </row>
    <row r="142" spans="3:3" s="113" customFormat="1" x14ac:dyDescent="0.25">
      <c r="C142" s="167"/>
    </row>
    <row r="143" spans="3:3" s="113" customFormat="1" x14ac:dyDescent="0.25">
      <c r="C143" s="167"/>
    </row>
    <row r="144" spans="3:3" s="113" customFormat="1" x14ac:dyDescent="0.25">
      <c r="C144" s="167"/>
    </row>
    <row r="145" spans="3:3" s="113" customFormat="1" x14ac:dyDescent="0.25">
      <c r="C145" s="167"/>
    </row>
    <row r="146" spans="3:3" s="113" customFormat="1" x14ac:dyDescent="0.25">
      <c r="C146" s="167"/>
    </row>
    <row r="147" spans="3:3" s="113" customFormat="1" x14ac:dyDescent="0.25">
      <c r="C147" s="167"/>
    </row>
    <row r="148" spans="3:3" s="113" customFormat="1" x14ac:dyDescent="0.25">
      <c r="C148" s="167"/>
    </row>
    <row r="149" spans="3:3" s="113" customFormat="1" x14ac:dyDescent="0.25">
      <c r="C149" s="167"/>
    </row>
    <row r="150" spans="3:3" s="113" customFormat="1" x14ac:dyDescent="0.25">
      <c r="C150" s="167"/>
    </row>
    <row r="151" spans="3:3" s="113" customFormat="1" x14ac:dyDescent="0.25">
      <c r="C151" s="167"/>
    </row>
    <row r="152" spans="3:3" s="113" customFormat="1" x14ac:dyDescent="0.25">
      <c r="C152" s="167"/>
    </row>
    <row r="153" spans="3:3" s="113" customFormat="1" x14ac:dyDescent="0.25">
      <c r="C153" s="167"/>
    </row>
    <row r="154" spans="3:3" s="113" customFormat="1" x14ac:dyDescent="0.25">
      <c r="C154" s="167"/>
    </row>
    <row r="155" spans="3:3" s="113" customFormat="1" x14ac:dyDescent="0.25">
      <c r="C155" s="167"/>
    </row>
    <row r="156" spans="3:3" s="113" customFormat="1" x14ac:dyDescent="0.25">
      <c r="C156" s="167"/>
    </row>
    <row r="157" spans="3:3" s="113" customFormat="1" x14ac:dyDescent="0.25">
      <c r="C157" s="167"/>
    </row>
    <row r="158" spans="3:3" s="113" customFormat="1" x14ac:dyDescent="0.25">
      <c r="C158" s="167"/>
    </row>
    <row r="159" spans="3:3" s="113" customFormat="1" x14ac:dyDescent="0.25">
      <c r="C159" s="167"/>
    </row>
    <row r="160" spans="3:3" s="113" customFormat="1" x14ac:dyDescent="0.25">
      <c r="C160" s="167"/>
    </row>
    <row r="161" spans="3:3" s="113" customFormat="1" x14ac:dyDescent="0.25">
      <c r="C161" s="167"/>
    </row>
    <row r="162" spans="3:3" s="113" customFormat="1" x14ac:dyDescent="0.25">
      <c r="C162" s="167"/>
    </row>
    <row r="163" spans="3:3" s="113" customFormat="1" x14ac:dyDescent="0.25">
      <c r="C163" s="167"/>
    </row>
    <row r="164" spans="3:3" s="113" customFormat="1" x14ac:dyDescent="0.25">
      <c r="C164" s="167"/>
    </row>
    <row r="165" spans="3:3" s="113" customFormat="1" x14ac:dyDescent="0.25">
      <c r="C165" s="167"/>
    </row>
    <row r="166" spans="3:3" s="113" customFormat="1" x14ac:dyDescent="0.25">
      <c r="C166" s="167"/>
    </row>
    <row r="167" spans="3:3" s="113" customFormat="1" x14ac:dyDescent="0.25">
      <c r="C167" s="167"/>
    </row>
    <row r="168" spans="3:3" s="113" customFormat="1" x14ac:dyDescent="0.25">
      <c r="C168" s="167"/>
    </row>
    <row r="169" spans="3:3" s="113" customFormat="1" x14ac:dyDescent="0.25">
      <c r="C169" s="167"/>
    </row>
    <row r="170" spans="3:3" s="113" customFormat="1" x14ac:dyDescent="0.25">
      <c r="C170" s="167"/>
    </row>
    <row r="171" spans="3:3" s="113" customFormat="1" x14ac:dyDescent="0.25">
      <c r="C171" s="167"/>
    </row>
    <row r="172" spans="3:3" s="113" customFormat="1" x14ac:dyDescent="0.25">
      <c r="C172" s="167"/>
    </row>
    <row r="173" spans="3:3" s="113" customFormat="1" x14ac:dyDescent="0.25">
      <c r="C173" s="167"/>
    </row>
    <row r="174" spans="3:3" s="113" customFormat="1" x14ac:dyDescent="0.25">
      <c r="C174" s="167"/>
    </row>
    <row r="175" spans="3:3" s="113" customFormat="1" x14ac:dyDescent="0.25">
      <c r="C175" s="167"/>
    </row>
    <row r="176" spans="3:3" s="113" customFormat="1" x14ac:dyDescent="0.25">
      <c r="C176" s="167"/>
    </row>
    <row r="177" spans="3:3" s="113" customFormat="1" x14ac:dyDescent="0.25">
      <c r="C177" s="167"/>
    </row>
    <row r="178" spans="3:3" s="113" customFormat="1" x14ac:dyDescent="0.25">
      <c r="C178" s="167"/>
    </row>
    <row r="179" spans="3:3" s="113" customFormat="1" x14ac:dyDescent="0.25">
      <c r="C179" s="167"/>
    </row>
    <row r="180" spans="3:3" s="113" customFormat="1" x14ac:dyDescent="0.25">
      <c r="C180" s="167"/>
    </row>
    <row r="181" spans="3:3" s="113" customFormat="1" x14ac:dyDescent="0.25">
      <c r="C181" s="167"/>
    </row>
    <row r="182" spans="3:3" s="113" customFormat="1" x14ac:dyDescent="0.25">
      <c r="C182" s="167"/>
    </row>
    <row r="183" spans="3:3" s="113" customFormat="1" x14ac:dyDescent="0.25">
      <c r="C183" s="167"/>
    </row>
    <row r="184" spans="3:3" s="113" customFormat="1" x14ac:dyDescent="0.25">
      <c r="C184" s="167"/>
    </row>
    <row r="185" spans="3:3" s="113" customFormat="1" x14ac:dyDescent="0.25">
      <c r="C185" s="167"/>
    </row>
    <row r="186" spans="3:3" s="113" customFormat="1" x14ac:dyDescent="0.25">
      <c r="C186" s="167"/>
    </row>
    <row r="187" spans="3:3" s="113" customFormat="1" x14ac:dyDescent="0.25">
      <c r="C187" s="167"/>
    </row>
    <row r="188" spans="3:3" s="113" customFormat="1" x14ac:dyDescent="0.25">
      <c r="C188" s="167"/>
    </row>
    <row r="189" spans="3:3" s="113" customFormat="1" x14ac:dyDescent="0.25">
      <c r="C189" s="167"/>
    </row>
  </sheetData>
  <sheetProtection algorithmName="SHA-512" hashValue="SAxri2l4CzW2MHzyJaIGJjGv/lWCkszkxKHr+wmJrabW4yDLMjUcAzYmDLJJuYIAi1f30T89cnGnljc/T7ZIaQ==" saltValue="QiBEKdyngZgkPN2RY3kLRw==" spinCount="100000" sheet="1" selectLockedCells="1"/>
  <mergeCells count="5">
    <mergeCell ref="B38:G38"/>
    <mergeCell ref="A1:D1"/>
    <mergeCell ref="A2:D2"/>
    <mergeCell ref="A12:B12"/>
    <mergeCell ref="B13:G13"/>
  </mergeCells>
  <dataValidations count="9">
    <dataValidation allowBlank="1" showInputMessage="1" showErrorMessage="1" prompt="Please select code representing validation type of report (&quot;MLAG-PR-UA&quot; is for performance report unaudited - mainly quarterly; &quot;MLAG-PR-A&quot; is for performance report audited - mainly annual)" sqref="E6 C6" xr:uid="{00000000-0002-0000-0800-000000000000}"/>
    <dataValidation allowBlank="1" showInputMessage="1" showErrorMessage="1" prompt="Please state Month/Year ending the reporting period (e.g. 12/2014 for quarter ending December 2014)" sqref="E8 C8" xr:uid="{00000000-0002-0000-0800-000001000000}"/>
    <dataValidation allowBlank="1" showInputMessage="1" showErrorMessage="1" prompt="Please state the period covered by the report (e.g. October-December 2014 for quarter ending December 2014)." sqref="E7 C7" xr:uid="{00000000-0002-0000-0800-000002000000}"/>
    <dataValidation allowBlank="1" showInputMessage="1" showErrorMessage="1" prompt="Please input the MCAG membership ID given to you by MCAG here." sqref="E5 C5" xr:uid="{00000000-0002-0000-0800-000003000000}"/>
    <dataValidation allowBlank="1" showInputMessage="1" showErrorMessage="1" prompt="Please input your registered business name as appears on your BoG License" sqref="E4 C4" xr:uid="{00000000-0002-0000-0800-000004000000}"/>
    <dataValidation type="decimal" operator="greaterThanOrEqual" allowBlank="1" showInputMessage="1" showErrorMessage="1" sqref="D36:D37 G41:G60 G16:G37 C15:D15 C40:D40" xr:uid="{00000000-0002-0000-0800-000005000000}">
      <formula1>0</formula1>
    </dataValidation>
    <dataValidation type="custom" allowBlank="1" showInputMessage="1" showErrorMessage="1" error="Please enter a valid amount to proceed" prompt="Please make sure that your input is an amount value" sqref="C41:C60 C16:C19 C21:C35" xr:uid="{00000000-0002-0000-0800-000006000000}">
      <formula1>ISNUMBER(C16)</formula1>
    </dataValidation>
    <dataValidation type="custom" operator="greaterThanOrEqual" allowBlank="1" showInputMessage="1" showErrorMessage="1" error="Please enter a valid amount to proceed" prompt="Please make sure that your input is an amount value" sqref="C20" xr:uid="{00000000-0002-0000-0800-000007000000}">
      <formula1>ISNUMBER(C20)</formula1>
    </dataValidation>
    <dataValidation type="custom" operator="greaterThanOrEqual" allowBlank="1" showInputMessage="1" showErrorMessage="1" error="Please enter a valid amount to proceed" prompt="Please make sure that your input is the PRINCIPAL value " sqref="D16:D35 D41:D60" xr:uid="{00000000-0002-0000-0800-000008000000}">
      <formula1>ISNUMBER(D16)</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sheetPr>
  <dimension ref="A1:CB612"/>
  <sheetViews>
    <sheetView zoomScale="98" zoomScaleNormal="98" workbookViewId="0">
      <selection activeCell="D15" sqref="D15"/>
    </sheetView>
  </sheetViews>
  <sheetFormatPr defaultColWidth="8.7109375" defaultRowHeight="15" x14ac:dyDescent="0.25"/>
  <cols>
    <col min="2" max="2" width="35.7109375" customWidth="1"/>
    <col min="3" max="3" width="61.42578125" style="169" bestFit="1" customWidth="1"/>
    <col min="4" max="4" width="23" customWidth="1"/>
  </cols>
  <sheetData>
    <row r="1" spans="1:80" s="14" customFormat="1" ht="18.75" x14ac:dyDescent="0.25">
      <c r="A1" s="425" t="str">
        <f>'Cover Sheet'!A1:D1</f>
        <v xml:space="preserve">GHANA CO-OPERATIVE SUSU COLLECTORS ASSOCIATION </v>
      </c>
      <c r="B1" s="425"/>
      <c r="C1" s="425"/>
      <c r="D1" s="425"/>
      <c r="E1" s="46">
        <f>SUM(D4:D10)</f>
        <v>0</v>
      </c>
      <c r="F1" s="47" t="str">
        <f>IF(SUM(D4:D10)=0,"","Error!")</f>
        <v/>
      </c>
    </row>
    <row r="2" spans="1:80" s="14" customFormat="1" ht="18.75" x14ac:dyDescent="0.25">
      <c r="A2" s="425" t="s">
        <v>8</v>
      </c>
      <c r="B2" s="425"/>
      <c r="C2" s="425"/>
      <c r="D2" s="425"/>
    </row>
    <row r="3" spans="1:80" s="13" customFormat="1" ht="15.75" x14ac:dyDescent="0.25">
      <c r="A3" s="15"/>
      <c r="B3" s="10"/>
      <c r="C3" s="8"/>
      <c r="D3" s="11"/>
    </row>
    <row r="4" spans="1:80" s="16" customFormat="1" ht="15.75" x14ac:dyDescent="0.25">
      <c r="B4" s="17" t="s">
        <v>9</v>
      </c>
      <c r="C4" s="23" t="str">
        <f>IF('Cover Sheet'!C4="", "", 'Cover Sheet'!C4)</f>
        <v>QUICK RETURNS SUSU ENTERPRISE</v>
      </c>
      <c r="D4" s="18">
        <f>IF(C4="",1,IF(ISTEXT(C4),0,1))+IF(OR(ISNUMBER(LEFT(C4)),LEFT(C4)=" "),1,0)</f>
        <v>0</v>
      </c>
    </row>
    <row r="5" spans="1:80" s="16" customFormat="1" ht="15.75" x14ac:dyDescent="0.25">
      <c r="B5" s="17" t="s">
        <v>10</v>
      </c>
      <c r="C5" s="50" t="str">
        <f>IF('Cover Sheet'!C5="", "", 'Cover Sheet'!C5)</f>
        <v xml:space="preserve">
GCSCA-GT-0-0000288</v>
      </c>
      <c r="D5" s="18">
        <f>IF(C5="",1,IF(ISTEXT(C5),0,1))+IF(OR(ISNUMBER(LEFT(C5)),LEFT(C5)=" "),1,0)</f>
        <v>0</v>
      </c>
    </row>
    <row r="6" spans="1:80" s="19" customFormat="1" ht="15.75" x14ac:dyDescent="0.25">
      <c r="B6" s="17" t="s">
        <v>11</v>
      </c>
      <c r="C6" s="134" t="str">
        <f>IF('Cover Sheet'!C6="", "", 'Cover Sheet'!C6)</f>
        <v xml:space="preserve">GCSCA-PR-UA </v>
      </c>
      <c r="D6" s="18">
        <f>IF(C6="",1,IF(ISTEXT(C6),0,1))</f>
        <v>0</v>
      </c>
    </row>
    <row r="7" spans="1:80" s="16" customFormat="1" ht="15.75" x14ac:dyDescent="0.25">
      <c r="B7" s="17" t="s">
        <v>12</v>
      </c>
      <c r="C7" s="50" t="str">
        <f>'Acc Receivables &amp; Other Assets'!C7</f>
        <v>JUNE</v>
      </c>
      <c r="D7" s="18">
        <f>IF(C7="",1,IF(ISTEXT(C7),0,1))</f>
        <v>0</v>
      </c>
    </row>
    <row r="8" spans="1:80" s="19" customFormat="1" ht="15.75" x14ac:dyDescent="0.25">
      <c r="B8" s="17" t="s">
        <v>13</v>
      </c>
      <c r="C8" s="133" t="str">
        <f>'Cover Sheet'!C9</f>
        <v>July 2026</v>
      </c>
      <c r="D8" s="18">
        <f>IF(C8="",1, 0)</f>
        <v>0</v>
      </c>
    </row>
    <row r="9" spans="1:80" s="21" customFormat="1" ht="15.75" x14ac:dyDescent="0.25">
      <c r="A9" s="20"/>
      <c r="B9" s="17" t="s">
        <v>14</v>
      </c>
      <c r="C9" s="135" t="str">
        <f>IF('Cover Sheet'!C7="", "", 'Cover Sheet'!C7)</f>
        <v>2026</v>
      </c>
      <c r="D9" s="18">
        <f>IF(C9="",1, 0)</f>
        <v>0</v>
      </c>
    </row>
    <row r="10" spans="1:80" s="21" customFormat="1" ht="15.75" x14ac:dyDescent="0.25">
      <c r="A10" s="20"/>
      <c r="B10" s="17" t="s">
        <v>156</v>
      </c>
      <c r="C10" s="135" t="str">
        <f>IF('Cover Sheet'!C10="", "", 'Cover Sheet'!C10)</f>
        <v>Greater Accra-GA</v>
      </c>
      <c r="D10" s="22">
        <f>IF(C10="",1, 0)</f>
        <v>0</v>
      </c>
    </row>
    <row r="11" spans="1:80" ht="15.75" thickBot="1" x14ac:dyDescent="0.3">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c r="AO11" s="113"/>
      <c r="AP11" s="113"/>
      <c r="AQ11" s="113"/>
      <c r="AR11" s="113"/>
      <c r="AS11" s="113"/>
      <c r="AT11" s="113"/>
      <c r="AU11" s="113"/>
      <c r="AV11" s="113"/>
      <c r="AW11" s="113"/>
      <c r="AX11" s="113"/>
      <c r="AY11" s="113"/>
      <c r="AZ11" s="113"/>
      <c r="BA11" s="113"/>
      <c r="BB11" s="113"/>
      <c r="BC11" s="113"/>
      <c r="BD11" s="113"/>
      <c r="BE11" s="113"/>
      <c r="BF11" s="113"/>
      <c r="BG11" s="113"/>
      <c r="BH11" s="113"/>
      <c r="BI11" s="113"/>
      <c r="BJ11" s="113"/>
      <c r="BK11" s="113"/>
      <c r="BL11" s="113"/>
      <c r="BM11" s="113"/>
      <c r="BN11" s="113"/>
      <c r="BO11" s="113"/>
      <c r="BP11" s="113"/>
    </row>
    <row r="12" spans="1:80" ht="21" customHeight="1" x14ac:dyDescent="0.25">
      <c r="A12" s="441" t="s">
        <v>339</v>
      </c>
      <c r="B12" s="442"/>
      <c r="C12" s="442"/>
      <c r="D12" s="44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c r="BR12" s="113"/>
      <c r="BS12" s="113"/>
      <c r="BT12" s="113"/>
      <c r="BU12" s="113"/>
      <c r="BV12" s="113"/>
      <c r="BW12" s="113"/>
      <c r="BX12" s="113"/>
      <c r="BY12" s="113"/>
      <c r="BZ12" s="113"/>
      <c r="CA12" s="113"/>
      <c r="CB12" s="113"/>
    </row>
    <row r="13" spans="1:80" x14ac:dyDescent="0.25">
      <c r="A13" s="323" t="s">
        <v>178</v>
      </c>
      <c r="B13" s="324" t="s">
        <v>186</v>
      </c>
      <c r="C13" s="325" t="s">
        <v>187</v>
      </c>
      <c r="D13" s="325" t="s">
        <v>179</v>
      </c>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c r="AO13" s="113"/>
      <c r="AP13" s="113"/>
      <c r="AQ13" s="113"/>
      <c r="AR13" s="113"/>
      <c r="AS13" s="113"/>
      <c r="AT13" s="113"/>
      <c r="AU13" s="113"/>
      <c r="AV13" s="113"/>
      <c r="AW13" s="113"/>
      <c r="AX13" s="113"/>
      <c r="AY13" s="113"/>
      <c r="AZ13" s="113"/>
      <c r="BA13" s="113"/>
      <c r="BB13" s="113"/>
      <c r="BC13" s="113"/>
      <c r="BD13" s="113"/>
      <c r="BE13" s="113"/>
      <c r="BF13" s="113"/>
      <c r="BG13" s="113"/>
      <c r="BH13" s="113"/>
      <c r="BI13" s="113"/>
      <c r="BJ13" s="113"/>
      <c r="BK13" s="113"/>
      <c r="BL13" s="113"/>
      <c r="BM13" s="113"/>
      <c r="BN13" s="113"/>
      <c r="BO13" s="113"/>
      <c r="BP13" s="113"/>
      <c r="BQ13" s="113"/>
      <c r="BR13" s="113"/>
      <c r="BS13" s="113"/>
      <c r="BT13" s="113"/>
      <c r="BU13" s="113"/>
      <c r="BV13" s="113"/>
      <c r="BW13" s="113"/>
      <c r="BX13" s="113"/>
      <c r="BY13" s="113"/>
      <c r="BZ13" s="113"/>
      <c r="CA13" s="113"/>
      <c r="CB13" s="113"/>
    </row>
    <row r="14" spans="1:80" x14ac:dyDescent="0.25">
      <c r="A14" s="326" t="s">
        <v>180</v>
      </c>
      <c r="B14" s="303"/>
      <c r="C14" s="327">
        <f>IFERROR(D14/D14,0)</f>
        <v>0</v>
      </c>
      <c r="D14" s="328">
        <f>SUM(D15:D26)</f>
        <v>0</v>
      </c>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c r="AO14" s="113"/>
      <c r="AP14" s="113"/>
      <c r="AQ14" s="113"/>
      <c r="AR14" s="113"/>
      <c r="AS14" s="113"/>
      <c r="AT14" s="113"/>
      <c r="AU14" s="113"/>
      <c r="AV14" s="113"/>
      <c r="AW14" s="113"/>
      <c r="AX14" s="113"/>
      <c r="AY14" s="113"/>
      <c r="AZ14" s="113"/>
      <c r="BA14" s="113"/>
      <c r="BB14" s="113"/>
      <c r="BC14" s="113"/>
      <c r="BD14" s="113"/>
      <c r="BE14" s="113"/>
      <c r="BF14" s="113"/>
      <c r="BG14" s="113"/>
      <c r="BH14" s="113"/>
      <c r="BI14" s="113"/>
      <c r="BJ14" s="113"/>
      <c r="BK14" s="113"/>
      <c r="BL14" s="113"/>
      <c r="BM14" s="113"/>
      <c r="BN14" s="113"/>
      <c r="BO14" s="113"/>
      <c r="BP14" s="113"/>
      <c r="BQ14" s="113"/>
      <c r="BR14" s="113"/>
      <c r="BS14" s="113"/>
      <c r="BT14" s="113"/>
      <c r="BU14" s="113"/>
      <c r="BV14" s="113"/>
      <c r="BW14" s="113"/>
      <c r="BX14" s="113"/>
      <c r="BY14" s="113"/>
      <c r="BZ14" s="113"/>
      <c r="CA14" s="113"/>
      <c r="CB14" s="113"/>
    </row>
    <row r="15" spans="1:80" x14ac:dyDescent="0.25">
      <c r="A15" s="174">
        <v>1</v>
      </c>
      <c r="B15" s="308" t="s">
        <v>188</v>
      </c>
      <c r="C15" s="322">
        <f t="shared" ref="C15:C26" si="0">IFERROR(D15/D$14,0)</f>
        <v>0</v>
      </c>
      <c r="D15" s="309"/>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c r="AO15" s="113"/>
      <c r="AP15" s="113"/>
      <c r="AQ15" s="113"/>
      <c r="AR15" s="113"/>
      <c r="AS15" s="113"/>
      <c r="AT15" s="113"/>
      <c r="AU15" s="113"/>
      <c r="AV15" s="113"/>
      <c r="AW15" s="113"/>
      <c r="AX15" s="113"/>
      <c r="AY15" s="113"/>
      <c r="AZ15" s="113"/>
      <c r="BA15" s="113"/>
      <c r="BB15" s="113"/>
      <c r="BC15" s="113"/>
      <c r="BD15" s="113"/>
      <c r="BE15" s="113"/>
      <c r="BF15" s="113"/>
      <c r="BG15" s="113"/>
      <c r="BH15" s="113"/>
      <c r="BI15" s="113"/>
      <c r="BJ15" s="113"/>
      <c r="BK15" s="113"/>
      <c r="BL15" s="113"/>
      <c r="BM15" s="113"/>
      <c r="BN15" s="113"/>
      <c r="BO15" s="113"/>
      <c r="BP15" s="113"/>
      <c r="BQ15" s="113"/>
      <c r="BR15" s="113"/>
      <c r="BS15" s="113"/>
      <c r="BT15" s="113"/>
      <c r="BU15" s="113"/>
      <c r="BV15" s="113"/>
      <c r="BW15" s="113"/>
      <c r="BX15" s="113"/>
      <c r="BY15" s="113"/>
      <c r="BZ15" s="113"/>
      <c r="CA15" s="113"/>
      <c r="CB15" s="113"/>
    </row>
    <row r="16" spans="1:80" x14ac:dyDescent="0.25">
      <c r="A16" s="174">
        <v>2</v>
      </c>
      <c r="B16" s="308" t="s">
        <v>189</v>
      </c>
      <c r="C16" s="322">
        <f t="shared" si="0"/>
        <v>0</v>
      </c>
      <c r="D16" s="309"/>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row>
    <row r="17" spans="1:80" x14ac:dyDescent="0.25">
      <c r="A17" s="174">
        <v>3</v>
      </c>
      <c r="B17" s="308" t="s">
        <v>190</v>
      </c>
      <c r="C17" s="322">
        <f t="shared" si="0"/>
        <v>0</v>
      </c>
      <c r="D17" s="309"/>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c r="BB17" s="113"/>
      <c r="BC17" s="113"/>
      <c r="BD17" s="113"/>
      <c r="BE17" s="113"/>
      <c r="BF17" s="113"/>
      <c r="BG17" s="113"/>
      <c r="BH17" s="113"/>
      <c r="BI17" s="113"/>
      <c r="BJ17" s="113"/>
      <c r="BK17" s="113"/>
      <c r="BL17" s="113"/>
      <c r="BM17" s="113"/>
      <c r="BN17" s="113"/>
      <c r="BO17" s="113"/>
      <c r="BP17" s="113"/>
      <c r="BQ17" s="113"/>
      <c r="BR17" s="113"/>
      <c r="BS17" s="113"/>
      <c r="BT17" s="113"/>
      <c r="BU17" s="113"/>
      <c r="BV17" s="113"/>
      <c r="BW17" s="113"/>
      <c r="BX17" s="113"/>
      <c r="BY17" s="113"/>
      <c r="BZ17" s="113"/>
      <c r="CA17" s="113"/>
      <c r="CB17" s="113"/>
    </row>
    <row r="18" spans="1:80" x14ac:dyDescent="0.25">
      <c r="A18" s="174">
        <v>4</v>
      </c>
      <c r="B18" s="308" t="s">
        <v>191</v>
      </c>
      <c r="C18" s="322">
        <f t="shared" si="0"/>
        <v>0</v>
      </c>
      <c r="D18" s="309"/>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row>
    <row r="19" spans="1:80" x14ac:dyDescent="0.25">
      <c r="A19" s="174">
        <v>5</v>
      </c>
      <c r="B19" s="308" t="s">
        <v>192</v>
      </c>
      <c r="C19" s="322">
        <f t="shared" si="0"/>
        <v>0</v>
      </c>
      <c r="D19" s="309"/>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3"/>
      <c r="BC19" s="113"/>
      <c r="BD19" s="113"/>
      <c r="BE19" s="113"/>
      <c r="BF19" s="113"/>
      <c r="BG19" s="113"/>
      <c r="BH19" s="113"/>
      <c r="BI19" s="113"/>
      <c r="BJ19" s="113"/>
      <c r="BK19" s="113"/>
      <c r="BL19" s="113"/>
      <c r="BM19" s="113"/>
      <c r="BN19" s="113"/>
      <c r="BO19" s="113"/>
      <c r="BP19" s="113"/>
      <c r="BQ19" s="113"/>
      <c r="BR19" s="113"/>
      <c r="BS19" s="113"/>
      <c r="BT19" s="113"/>
      <c r="BU19" s="113"/>
      <c r="BV19" s="113"/>
      <c r="BW19" s="113"/>
      <c r="BX19" s="113"/>
      <c r="BY19" s="113"/>
      <c r="BZ19" s="113"/>
      <c r="CA19" s="113"/>
      <c r="CB19" s="113"/>
    </row>
    <row r="20" spans="1:80" x14ac:dyDescent="0.25">
      <c r="A20" s="174">
        <v>6</v>
      </c>
      <c r="B20" s="308" t="s">
        <v>193</v>
      </c>
      <c r="C20" s="322">
        <f t="shared" si="0"/>
        <v>0</v>
      </c>
      <c r="D20" s="309"/>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row>
    <row r="21" spans="1:80" x14ac:dyDescent="0.25">
      <c r="A21" s="174">
        <v>7</v>
      </c>
      <c r="B21" s="308" t="s">
        <v>194</v>
      </c>
      <c r="C21" s="322">
        <f t="shared" si="0"/>
        <v>0</v>
      </c>
      <c r="D21" s="309"/>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3"/>
      <c r="AT21" s="113"/>
      <c r="AU21" s="113"/>
      <c r="AV21" s="113"/>
      <c r="AW21" s="113"/>
      <c r="AX21" s="113"/>
      <c r="AY21" s="113"/>
      <c r="AZ21" s="113"/>
      <c r="BA21" s="113"/>
      <c r="BB21" s="113"/>
      <c r="BC21" s="113"/>
      <c r="BD21" s="113"/>
      <c r="BE21" s="113"/>
      <c r="BF21" s="113"/>
      <c r="BG21" s="113"/>
      <c r="BH21" s="113"/>
      <c r="BI21" s="113"/>
      <c r="BJ21" s="113"/>
      <c r="BK21" s="113"/>
      <c r="BL21" s="113"/>
      <c r="BM21" s="113"/>
      <c r="BN21" s="113"/>
      <c r="BO21" s="113"/>
      <c r="BP21" s="113"/>
      <c r="BQ21" s="113"/>
      <c r="BR21" s="113"/>
      <c r="BS21" s="113"/>
      <c r="BT21" s="113"/>
      <c r="BU21" s="113"/>
      <c r="BV21" s="113"/>
      <c r="BW21" s="113"/>
      <c r="BX21" s="113"/>
      <c r="BY21" s="113"/>
      <c r="BZ21" s="113"/>
      <c r="CA21" s="113"/>
      <c r="CB21" s="113"/>
    </row>
    <row r="22" spans="1:80" x14ac:dyDescent="0.25">
      <c r="A22" s="174">
        <v>8</v>
      </c>
      <c r="B22" s="308" t="s">
        <v>288</v>
      </c>
      <c r="C22" s="322">
        <f t="shared" si="0"/>
        <v>0</v>
      </c>
      <c r="D22" s="309"/>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row>
    <row r="23" spans="1:80" x14ac:dyDescent="0.25">
      <c r="A23" s="174">
        <v>9</v>
      </c>
      <c r="B23" s="308"/>
      <c r="C23" s="322">
        <f t="shared" si="0"/>
        <v>0</v>
      </c>
      <c r="D23" s="309"/>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3"/>
      <c r="BJ23" s="113"/>
      <c r="BK23" s="113"/>
      <c r="BL23" s="113"/>
      <c r="BM23" s="113"/>
      <c r="BN23" s="113"/>
      <c r="BO23" s="113"/>
      <c r="BP23" s="113"/>
      <c r="BQ23" s="113"/>
      <c r="BR23" s="113"/>
      <c r="BS23" s="113"/>
      <c r="BT23" s="113"/>
      <c r="BU23" s="113"/>
      <c r="BV23" s="113"/>
      <c r="BW23" s="113"/>
      <c r="BX23" s="113"/>
      <c r="BY23" s="113"/>
      <c r="BZ23" s="113"/>
      <c r="CA23" s="113"/>
      <c r="CB23" s="113"/>
    </row>
    <row r="24" spans="1:80" x14ac:dyDescent="0.25">
      <c r="A24" s="174">
        <v>10</v>
      </c>
      <c r="B24" s="308"/>
      <c r="C24" s="322">
        <f t="shared" si="0"/>
        <v>0</v>
      </c>
      <c r="D24" s="309"/>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3"/>
      <c r="BM24" s="113"/>
      <c r="BN24" s="113"/>
      <c r="BO24" s="113"/>
      <c r="BP24" s="113"/>
      <c r="BQ24" s="113"/>
      <c r="BR24" s="113"/>
      <c r="BS24" s="113"/>
      <c r="BT24" s="113"/>
      <c r="BU24" s="113"/>
      <c r="BV24" s="113"/>
      <c r="BW24" s="113"/>
      <c r="BX24" s="113"/>
      <c r="BY24" s="113"/>
      <c r="BZ24" s="113"/>
      <c r="CA24" s="113"/>
      <c r="CB24" s="113"/>
    </row>
    <row r="25" spans="1:80" x14ac:dyDescent="0.25">
      <c r="A25" s="174">
        <v>11</v>
      </c>
      <c r="B25" s="308"/>
      <c r="C25" s="322">
        <f t="shared" si="0"/>
        <v>0</v>
      </c>
      <c r="D25" s="309"/>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3"/>
      <c r="BP25" s="113"/>
      <c r="BQ25" s="113"/>
      <c r="BR25" s="113"/>
      <c r="BS25" s="113"/>
      <c r="BT25" s="113"/>
      <c r="BU25" s="113"/>
      <c r="BV25" s="113"/>
      <c r="BW25" s="113"/>
      <c r="BX25" s="113"/>
      <c r="BY25" s="113"/>
      <c r="BZ25" s="113"/>
      <c r="CA25" s="113"/>
      <c r="CB25" s="113"/>
    </row>
    <row r="26" spans="1:80" x14ac:dyDescent="0.25">
      <c r="A26" s="174">
        <v>12</v>
      </c>
      <c r="B26" s="308"/>
      <c r="C26" s="322">
        <f t="shared" si="0"/>
        <v>0</v>
      </c>
      <c r="D26" s="309"/>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3"/>
      <c r="BT26" s="113"/>
      <c r="BU26" s="113"/>
      <c r="BV26" s="113"/>
      <c r="BW26" s="113"/>
      <c r="BX26" s="113"/>
      <c r="BY26" s="113"/>
      <c r="BZ26" s="113"/>
      <c r="CA26" s="113"/>
      <c r="CB26" s="113"/>
    </row>
    <row r="27" spans="1:80" s="113" customFormat="1" x14ac:dyDescent="0.25">
      <c r="C27" s="114"/>
    </row>
    <row r="28" spans="1:80" s="113" customFormat="1" x14ac:dyDescent="0.25">
      <c r="C28" s="114"/>
    </row>
    <row r="29" spans="1:80" s="113" customFormat="1" x14ac:dyDescent="0.25">
      <c r="C29" s="114"/>
    </row>
    <row r="30" spans="1:80" s="113" customFormat="1" x14ac:dyDescent="0.25">
      <c r="C30" s="114"/>
    </row>
    <row r="31" spans="1:80" s="113" customFormat="1" x14ac:dyDescent="0.25">
      <c r="C31" s="114"/>
    </row>
    <row r="32" spans="1:80" s="113" customFormat="1" x14ac:dyDescent="0.25">
      <c r="C32" s="114"/>
    </row>
    <row r="33" spans="3:3" s="113" customFormat="1" x14ac:dyDescent="0.25">
      <c r="C33" s="114"/>
    </row>
    <row r="34" spans="3:3" s="113" customFormat="1" x14ac:dyDescent="0.25">
      <c r="C34" s="114"/>
    </row>
    <row r="35" spans="3:3" s="113" customFormat="1" x14ac:dyDescent="0.25">
      <c r="C35" s="114"/>
    </row>
    <row r="36" spans="3:3" s="113" customFormat="1" x14ac:dyDescent="0.25">
      <c r="C36" s="114"/>
    </row>
    <row r="37" spans="3:3" s="113" customFormat="1" x14ac:dyDescent="0.25">
      <c r="C37" s="114"/>
    </row>
    <row r="38" spans="3:3" s="113" customFormat="1" x14ac:dyDescent="0.25">
      <c r="C38" s="114"/>
    </row>
    <row r="39" spans="3:3" s="113" customFormat="1" x14ac:dyDescent="0.25">
      <c r="C39" s="114"/>
    </row>
    <row r="40" spans="3:3" s="113" customFormat="1" x14ac:dyDescent="0.25">
      <c r="C40" s="114"/>
    </row>
    <row r="41" spans="3:3" s="113" customFormat="1" x14ac:dyDescent="0.25">
      <c r="C41" s="114"/>
    </row>
    <row r="42" spans="3:3" s="113" customFormat="1" x14ac:dyDescent="0.25">
      <c r="C42" s="114"/>
    </row>
    <row r="43" spans="3:3" s="113" customFormat="1" x14ac:dyDescent="0.25">
      <c r="C43" s="114"/>
    </row>
    <row r="44" spans="3:3" s="113" customFormat="1" x14ac:dyDescent="0.25">
      <c r="C44" s="114"/>
    </row>
    <row r="45" spans="3:3" s="113" customFormat="1" x14ac:dyDescent="0.25">
      <c r="C45" s="114"/>
    </row>
    <row r="46" spans="3:3" s="113" customFormat="1" x14ac:dyDescent="0.25">
      <c r="C46" s="114"/>
    </row>
    <row r="47" spans="3:3" s="113" customFormat="1" x14ac:dyDescent="0.25">
      <c r="C47" s="114"/>
    </row>
    <row r="48" spans="3:3" s="113" customFormat="1" x14ac:dyDescent="0.25">
      <c r="C48" s="114"/>
    </row>
    <row r="49" spans="3:3" s="113" customFormat="1" x14ac:dyDescent="0.25">
      <c r="C49" s="114"/>
    </row>
    <row r="50" spans="3:3" s="113" customFormat="1" x14ac:dyDescent="0.25">
      <c r="C50" s="114"/>
    </row>
    <row r="51" spans="3:3" s="113" customFormat="1" x14ac:dyDescent="0.25">
      <c r="C51" s="114"/>
    </row>
    <row r="52" spans="3:3" s="113" customFormat="1" x14ac:dyDescent="0.25">
      <c r="C52" s="114"/>
    </row>
    <row r="53" spans="3:3" s="113" customFormat="1" x14ac:dyDescent="0.25">
      <c r="C53" s="114"/>
    </row>
    <row r="54" spans="3:3" s="113" customFormat="1" x14ac:dyDescent="0.25">
      <c r="C54" s="114"/>
    </row>
    <row r="55" spans="3:3" s="113" customFormat="1" x14ac:dyDescent="0.25">
      <c r="C55" s="114"/>
    </row>
    <row r="56" spans="3:3" s="113" customFormat="1" x14ac:dyDescent="0.25">
      <c r="C56" s="114"/>
    </row>
    <row r="57" spans="3:3" s="113" customFormat="1" x14ac:dyDescent="0.25">
      <c r="C57" s="114"/>
    </row>
    <row r="58" spans="3:3" s="113" customFormat="1" x14ac:dyDescent="0.25">
      <c r="C58" s="114"/>
    </row>
    <row r="59" spans="3:3" s="113" customFormat="1" x14ac:dyDescent="0.25">
      <c r="C59" s="114"/>
    </row>
    <row r="60" spans="3:3" s="113" customFormat="1" x14ac:dyDescent="0.25">
      <c r="C60" s="114"/>
    </row>
    <row r="61" spans="3:3" s="113" customFormat="1" x14ac:dyDescent="0.25">
      <c r="C61" s="114"/>
    </row>
    <row r="62" spans="3:3" s="113" customFormat="1" x14ac:dyDescent="0.25">
      <c r="C62" s="114"/>
    </row>
    <row r="63" spans="3:3" s="113" customFormat="1" x14ac:dyDescent="0.25">
      <c r="C63" s="114"/>
    </row>
    <row r="64" spans="3:3" s="113" customFormat="1" x14ac:dyDescent="0.25">
      <c r="C64" s="114"/>
    </row>
    <row r="65" spans="3:3" s="113" customFormat="1" x14ac:dyDescent="0.25">
      <c r="C65" s="114"/>
    </row>
    <row r="66" spans="3:3" s="113" customFormat="1" x14ac:dyDescent="0.25">
      <c r="C66" s="114"/>
    </row>
    <row r="67" spans="3:3" s="113" customFormat="1" x14ac:dyDescent="0.25">
      <c r="C67" s="114"/>
    </row>
    <row r="68" spans="3:3" s="113" customFormat="1" x14ac:dyDescent="0.25">
      <c r="C68" s="114"/>
    </row>
    <row r="69" spans="3:3" s="113" customFormat="1" x14ac:dyDescent="0.25">
      <c r="C69" s="114"/>
    </row>
    <row r="70" spans="3:3" s="113" customFormat="1" x14ac:dyDescent="0.25">
      <c r="C70" s="114"/>
    </row>
    <row r="71" spans="3:3" s="113" customFormat="1" x14ac:dyDescent="0.25">
      <c r="C71" s="114"/>
    </row>
    <row r="72" spans="3:3" s="113" customFormat="1" x14ac:dyDescent="0.25">
      <c r="C72" s="114"/>
    </row>
    <row r="73" spans="3:3" s="113" customFormat="1" x14ac:dyDescent="0.25">
      <c r="C73" s="114"/>
    </row>
    <row r="74" spans="3:3" s="113" customFormat="1" x14ac:dyDescent="0.25">
      <c r="C74" s="114"/>
    </row>
    <row r="75" spans="3:3" s="113" customFormat="1" x14ac:dyDescent="0.25">
      <c r="C75" s="114"/>
    </row>
    <row r="76" spans="3:3" s="113" customFormat="1" x14ac:dyDescent="0.25">
      <c r="C76" s="114"/>
    </row>
    <row r="77" spans="3:3" s="113" customFormat="1" x14ac:dyDescent="0.25">
      <c r="C77" s="114"/>
    </row>
    <row r="78" spans="3:3" s="113" customFormat="1" x14ac:dyDescent="0.25">
      <c r="C78" s="114"/>
    </row>
    <row r="79" spans="3:3" s="113" customFormat="1" x14ac:dyDescent="0.25">
      <c r="C79" s="114"/>
    </row>
    <row r="80" spans="3:3" s="113" customFormat="1" x14ac:dyDescent="0.25">
      <c r="C80" s="114"/>
    </row>
    <row r="81" spans="3:3" s="113" customFormat="1" x14ac:dyDescent="0.25">
      <c r="C81" s="114"/>
    </row>
    <row r="82" spans="3:3" s="113" customFormat="1" x14ac:dyDescent="0.25">
      <c r="C82" s="114"/>
    </row>
    <row r="83" spans="3:3" s="113" customFormat="1" x14ac:dyDescent="0.25">
      <c r="C83" s="114"/>
    </row>
    <row r="84" spans="3:3" s="113" customFormat="1" x14ac:dyDescent="0.25">
      <c r="C84" s="114"/>
    </row>
    <row r="85" spans="3:3" s="113" customFormat="1" x14ac:dyDescent="0.25">
      <c r="C85" s="114"/>
    </row>
    <row r="86" spans="3:3" s="113" customFormat="1" x14ac:dyDescent="0.25">
      <c r="C86" s="114"/>
    </row>
    <row r="87" spans="3:3" s="113" customFormat="1" x14ac:dyDescent="0.25">
      <c r="C87" s="114"/>
    </row>
    <row r="88" spans="3:3" s="113" customFormat="1" x14ac:dyDescent="0.25">
      <c r="C88" s="114"/>
    </row>
    <row r="89" spans="3:3" s="113" customFormat="1" x14ac:dyDescent="0.25">
      <c r="C89" s="114"/>
    </row>
    <row r="90" spans="3:3" s="113" customFormat="1" x14ac:dyDescent="0.25">
      <c r="C90" s="114"/>
    </row>
    <row r="91" spans="3:3" s="113" customFormat="1" x14ac:dyDescent="0.25">
      <c r="C91" s="114"/>
    </row>
    <row r="92" spans="3:3" s="113" customFormat="1" x14ac:dyDescent="0.25">
      <c r="C92" s="114"/>
    </row>
    <row r="93" spans="3:3" s="113" customFormat="1" x14ac:dyDescent="0.25">
      <c r="C93" s="114"/>
    </row>
    <row r="94" spans="3:3" s="113" customFormat="1" x14ac:dyDescent="0.25">
      <c r="C94" s="114"/>
    </row>
    <row r="95" spans="3:3" s="113" customFormat="1" x14ac:dyDescent="0.25">
      <c r="C95" s="114"/>
    </row>
    <row r="96" spans="3:3" s="113" customFormat="1" x14ac:dyDescent="0.25">
      <c r="C96" s="114"/>
    </row>
    <row r="97" spans="3:3" s="113" customFormat="1" x14ac:dyDescent="0.25">
      <c r="C97" s="114"/>
    </row>
    <row r="98" spans="3:3" s="113" customFormat="1" x14ac:dyDescent="0.25">
      <c r="C98" s="114"/>
    </row>
    <row r="99" spans="3:3" s="113" customFormat="1" x14ac:dyDescent="0.25">
      <c r="C99" s="114"/>
    </row>
    <row r="100" spans="3:3" s="113" customFormat="1" x14ac:dyDescent="0.25">
      <c r="C100" s="114"/>
    </row>
    <row r="101" spans="3:3" s="113" customFormat="1" x14ac:dyDescent="0.25">
      <c r="C101" s="114"/>
    </row>
    <row r="102" spans="3:3" s="113" customFormat="1" x14ac:dyDescent="0.25">
      <c r="C102" s="114"/>
    </row>
    <row r="103" spans="3:3" s="113" customFormat="1" x14ac:dyDescent="0.25">
      <c r="C103" s="114"/>
    </row>
    <row r="104" spans="3:3" s="113" customFormat="1" x14ac:dyDescent="0.25">
      <c r="C104" s="114"/>
    </row>
    <row r="105" spans="3:3" s="113" customFormat="1" x14ac:dyDescent="0.25">
      <c r="C105" s="114"/>
    </row>
    <row r="106" spans="3:3" s="113" customFormat="1" x14ac:dyDescent="0.25">
      <c r="C106" s="114"/>
    </row>
    <row r="107" spans="3:3" s="113" customFormat="1" x14ac:dyDescent="0.25">
      <c r="C107" s="114"/>
    </row>
    <row r="108" spans="3:3" s="113" customFormat="1" x14ac:dyDescent="0.25">
      <c r="C108" s="114"/>
    </row>
    <row r="109" spans="3:3" s="113" customFormat="1" x14ac:dyDescent="0.25">
      <c r="C109" s="114"/>
    </row>
    <row r="110" spans="3:3" s="113" customFormat="1" x14ac:dyDescent="0.25">
      <c r="C110" s="114"/>
    </row>
    <row r="111" spans="3:3" s="113" customFormat="1" x14ac:dyDescent="0.25">
      <c r="C111" s="114"/>
    </row>
    <row r="112" spans="3:3" s="113" customFormat="1" x14ac:dyDescent="0.25">
      <c r="C112" s="114"/>
    </row>
    <row r="113" spans="3:3" s="113" customFormat="1" x14ac:dyDescent="0.25">
      <c r="C113" s="114"/>
    </row>
    <row r="114" spans="3:3" s="113" customFormat="1" x14ac:dyDescent="0.25">
      <c r="C114" s="114"/>
    </row>
    <row r="115" spans="3:3" s="113" customFormat="1" x14ac:dyDescent="0.25">
      <c r="C115" s="114"/>
    </row>
    <row r="116" spans="3:3" s="113" customFormat="1" x14ac:dyDescent="0.25">
      <c r="C116" s="114"/>
    </row>
    <row r="117" spans="3:3" s="113" customFormat="1" x14ac:dyDescent="0.25">
      <c r="C117" s="114"/>
    </row>
    <row r="118" spans="3:3" s="113" customFormat="1" x14ac:dyDescent="0.25">
      <c r="C118" s="114"/>
    </row>
    <row r="119" spans="3:3" s="113" customFormat="1" x14ac:dyDescent="0.25">
      <c r="C119" s="114"/>
    </row>
    <row r="120" spans="3:3" s="113" customFormat="1" x14ac:dyDescent="0.25">
      <c r="C120" s="114"/>
    </row>
    <row r="121" spans="3:3" s="113" customFormat="1" x14ac:dyDescent="0.25">
      <c r="C121" s="114"/>
    </row>
    <row r="122" spans="3:3" s="113" customFormat="1" x14ac:dyDescent="0.25">
      <c r="C122" s="114"/>
    </row>
    <row r="123" spans="3:3" s="113" customFormat="1" x14ac:dyDescent="0.25">
      <c r="C123" s="114"/>
    </row>
    <row r="124" spans="3:3" s="113" customFormat="1" x14ac:dyDescent="0.25">
      <c r="C124" s="114"/>
    </row>
    <row r="125" spans="3:3" s="113" customFormat="1" x14ac:dyDescent="0.25">
      <c r="C125" s="114"/>
    </row>
    <row r="126" spans="3:3" s="113" customFormat="1" x14ac:dyDescent="0.25">
      <c r="C126" s="114"/>
    </row>
    <row r="127" spans="3:3" s="113" customFormat="1" x14ac:dyDescent="0.25">
      <c r="C127" s="114"/>
    </row>
    <row r="128" spans="3:3" s="113" customFormat="1" x14ac:dyDescent="0.25">
      <c r="C128" s="114"/>
    </row>
    <row r="129" spans="3:80" s="113" customFormat="1" x14ac:dyDescent="0.25">
      <c r="C129" s="114"/>
    </row>
    <row r="130" spans="3:80" s="113" customFormat="1" x14ac:dyDescent="0.25">
      <c r="C130" s="114"/>
    </row>
    <row r="131" spans="3:80" s="113" customFormat="1" x14ac:dyDescent="0.25">
      <c r="C131" s="114"/>
    </row>
    <row r="132" spans="3:80" s="113" customFormat="1" x14ac:dyDescent="0.25">
      <c r="C132" s="114"/>
    </row>
    <row r="133" spans="3:80" s="113" customFormat="1" x14ac:dyDescent="0.25">
      <c r="C133" s="114"/>
    </row>
    <row r="134" spans="3:80" s="113" customFormat="1" x14ac:dyDescent="0.25">
      <c r="C134" s="114"/>
    </row>
    <row r="135" spans="3:80" x14ac:dyDescent="0.25">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c r="AO135" s="113"/>
      <c r="AP135" s="113"/>
      <c r="AQ135" s="113"/>
      <c r="AR135" s="113"/>
      <c r="AS135" s="113"/>
      <c r="AT135" s="113"/>
      <c r="AU135" s="113"/>
      <c r="AV135" s="113"/>
      <c r="AW135" s="113"/>
      <c r="AX135" s="113"/>
      <c r="AY135" s="113"/>
      <c r="AZ135" s="113"/>
      <c r="BA135" s="113"/>
      <c r="BB135" s="113"/>
      <c r="BC135" s="113"/>
      <c r="BD135" s="113"/>
      <c r="BE135" s="113"/>
      <c r="BF135" s="113"/>
      <c r="BG135" s="113"/>
      <c r="BH135" s="113"/>
      <c r="BI135" s="113"/>
      <c r="BJ135" s="113"/>
      <c r="BK135" s="113"/>
      <c r="BL135" s="113"/>
      <c r="BM135" s="113"/>
      <c r="BN135" s="113"/>
      <c r="BO135" s="113"/>
      <c r="BP135" s="113"/>
      <c r="BQ135" s="113"/>
      <c r="BR135" s="113"/>
      <c r="BS135" s="113"/>
      <c r="BT135" s="113"/>
      <c r="BU135" s="113"/>
      <c r="BV135" s="113"/>
      <c r="BW135" s="113"/>
      <c r="BX135" s="113"/>
      <c r="BY135" s="113"/>
      <c r="BZ135" s="113"/>
      <c r="CA135" s="113"/>
      <c r="CB135" s="113"/>
    </row>
    <row r="136" spans="3:80" x14ac:dyDescent="0.25">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c r="AO136" s="113"/>
      <c r="AP136" s="113"/>
      <c r="AQ136" s="113"/>
      <c r="AR136" s="113"/>
      <c r="AS136" s="113"/>
      <c r="AT136" s="113"/>
      <c r="AU136" s="113"/>
      <c r="AV136" s="113"/>
      <c r="AW136" s="113"/>
      <c r="AX136" s="113"/>
      <c r="AY136" s="113"/>
      <c r="AZ136" s="113"/>
      <c r="BA136" s="113"/>
      <c r="BB136" s="113"/>
      <c r="BC136" s="113"/>
      <c r="BD136" s="113"/>
      <c r="BE136" s="113"/>
      <c r="BF136" s="113"/>
      <c r="BG136" s="113"/>
      <c r="BH136" s="113"/>
      <c r="BI136" s="113"/>
      <c r="BJ136" s="113"/>
      <c r="BK136" s="113"/>
      <c r="BL136" s="113"/>
      <c r="BM136" s="113"/>
      <c r="BN136" s="113"/>
      <c r="BO136" s="113"/>
      <c r="BP136" s="113"/>
      <c r="BQ136" s="113"/>
      <c r="BR136" s="113"/>
      <c r="BS136" s="113"/>
      <c r="BT136" s="113"/>
      <c r="BU136" s="113"/>
      <c r="BV136" s="113"/>
      <c r="BW136" s="113"/>
      <c r="BX136" s="113"/>
      <c r="BY136" s="113"/>
      <c r="BZ136" s="113"/>
      <c r="CA136" s="113"/>
      <c r="CB136" s="113"/>
    </row>
    <row r="137" spans="3:80" x14ac:dyDescent="0.25">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c r="AO137" s="113"/>
      <c r="AP137" s="113"/>
      <c r="AQ137" s="113"/>
      <c r="AR137" s="113"/>
      <c r="AS137" s="113"/>
      <c r="AT137" s="113"/>
      <c r="AU137" s="113"/>
      <c r="AV137" s="113"/>
      <c r="AW137" s="113"/>
      <c r="AX137" s="113"/>
      <c r="AY137" s="113"/>
      <c r="AZ137" s="113"/>
      <c r="BA137" s="113"/>
      <c r="BB137" s="113"/>
      <c r="BC137" s="113"/>
      <c r="BD137" s="113"/>
      <c r="BE137" s="113"/>
      <c r="BF137" s="113"/>
      <c r="BG137" s="113"/>
      <c r="BH137" s="113"/>
      <c r="BI137" s="113"/>
      <c r="BJ137" s="113"/>
      <c r="BK137" s="113"/>
      <c r="BL137" s="113"/>
      <c r="BM137" s="113"/>
      <c r="BN137" s="113"/>
      <c r="BO137" s="113"/>
      <c r="BP137" s="113"/>
      <c r="BQ137" s="113"/>
      <c r="BR137" s="113"/>
      <c r="BS137" s="113"/>
      <c r="BT137" s="113"/>
      <c r="BU137" s="113"/>
      <c r="BV137" s="113"/>
      <c r="BW137" s="113"/>
      <c r="BX137" s="113"/>
      <c r="BY137" s="113"/>
      <c r="BZ137" s="113"/>
      <c r="CA137" s="113"/>
      <c r="CB137" s="113"/>
    </row>
    <row r="138" spans="3:80" x14ac:dyDescent="0.25">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3"/>
      <c r="AY138" s="113"/>
      <c r="AZ138" s="113"/>
      <c r="BA138" s="113"/>
      <c r="BB138" s="113"/>
      <c r="BC138" s="113"/>
      <c r="BD138" s="113"/>
      <c r="BE138" s="113"/>
      <c r="BF138" s="113"/>
      <c r="BG138" s="113"/>
      <c r="BH138" s="113"/>
      <c r="BI138" s="113"/>
      <c r="BJ138" s="113"/>
      <c r="BK138" s="113"/>
      <c r="BL138" s="113"/>
      <c r="BM138" s="113"/>
      <c r="BN138" s="113"/>
      <c r="BO138" s="113"/>
      <c r="BP138" s="113"/>
      <c r="BQ138" s="113"/>
      <c r="BR138" s="113"/>
      <c r="BS138" s="113"/>
      <c r="BT138" s="113"/>
      <c r="BU138" s="113"/>
      <c r="BV138" s="113"/>
      <c r="BW138" s="113"/>
      <c r="BX138" s="113"/>
      <c r="BY138" s="113"/>
      <c r="BZ138" s="113"/>
      <c r="CA138" s="113"/>
      <c r="CB138" s="113"/>
    </row>
    <row r="139" spans="3:80" x14ac:dyDescent="0.25">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3"/>
      <c r="AY139" s="113"/>
      <c r="AZ139" s="113"/>
      <c r="BA139" s="113"/>
      <c r="BB139" s="113"/>
      <c r="BC139" s="113"/>
      <c r="BD139" s="113"/>
      <c r="BE139" s="113"/>
      <c r="BF139" s="113"/>
      <c r="BG139" s="113"/>
      <c r="BH139" s="113"/>
      <c r="BI139" s="113"/>
      <c r="BJ139" s="113"/>
      <c r="BK139" s="113"/>
      <c r="BL139" s="113"/>
      <c r="BM139" s="113"/>
      <c r="BN139" s="113"/>
      <c r="BO139" s="113"/>
      <c r="BP139" s="113"/>
      <c r="BQ139" s="113"/>
      <c r="BR139" s="113"/>
      <c r="BS139" s="113"/>
      <c r="BT139" s="113"/>
      <c r="BU139" s="113"/>
      <c r="BV139" s="113"/>
      <c r="BW139" s="113"/>
      <c r="BX139" s="113"/>
      <c r="BY139" s="113"/>
      <c r="BZ139" s="113"/>
      <c r="CA139" s="113"/>
      <c r="CB139" s="113"/>
    </row>
    <row r="140" spans="3:80" x14ac:dyDescent="0.25">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3"/>
      <c r="AY140" s="113"/>
      <c r="AZ140" s="113"/>
      <c r="BA140" s="113"/>
      <c r="BB140" s="113"/>
      <c r="BC140" s="113"/>
      <c r="BD140" s="113"/>
      <c r="BE140" s="113"/>
      <c r="BF140" s="113"/>
      <c r="BG140" s="113"/>
      <c r="BH140" s="113"/>
      <c r="BI140" s="113"/>
      <c r="BJ140" s="113"/>
      <c r="BK140" s="113"/>
      <c r="BL140" s="113"/>
      <c r="BM140" s="113"/>
      <c r="BN140" s="113"/>
      <c r="BO140" s="113"/>
      <c r="BP140" s="113"/>
      <c r="BQ140" s="113"/>
      <c r="BR140" s="113"/>
      <c r="BS140" s="113"/>
      <c r="BT140" s="113"/>
      <c r="BU140" s="113"/>
      <c r="BV140" s="113"/>
      <c r="BW140" s="113"/>
      <c r="BX140" s="113"/>
      <c r="BY140" s="113"/>
      <c r="BZ140" s="113"/>
      <c r="CA140" s="113"/>
      <c r="CB140" s="113"/>
    </row>
    <row r="141" spans="3:80" x14ac:dyDescent="0.25">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3"/>
      <c r="AY141" s="113"/>
      <c r="AZ141" s="113"/>
      <c r="BA141" s="113"/>
      <c r="BB141" s="113"/>
      <c r="BC141" s="113"/>
      <c r="BD141" s="113"/>
      <c r="BE141" s="113"/>
      <c r="BF141" s="113"/>
      <c r="BG141" s="113"/>
      <c r="BH141" s="113"/>
      <c r="BI141" s="113"/>
      <c r="BJ141" s="113"/>
      <c r="BK141" s="113"/>
      <c r="BL141" s="113"/>
      <c r="BM141" s="113"/>
      <c r="BN141" s="113"/>
      <c r="BO141" s="113"/>
      <c r="BP141" s="113"/>
      <c r="BQ141" s="113"/>
      <c r="BR141" s="113"/>
      <c r="BS141" s="113"/>
      <c r="BT141" s="113"/>
      <c r="BU141" s="113"/>
      <c r="BV141" s="113"/>
      <c r="BW141" s="113"/>
      <c r="BX141" s="113"/>
      <c r="BY141" s="113"/>
      <c r="BZ141" s="113"/>
      <c r="CA141" s="113"/>
      <c r="CB141" s="113"/>
    </row>
    <row r="142" spans="3:80" x14ac:dyDescent="0.25">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3"/>
      <c r="AY142" s="113"/>
      <c r="AZ142" s="113"/>
      <c r="BA142" s="113"/>
      <c r="BB142" s="113"/>
      <c r="BC142" s="113"/>
      <c r="BD142" s="113"/>
      <c r="BE142" s="113"/>
      <c r="BF142" s="113"/>
      <c r="BG142" s="113"/>
      <c r="BH142" s="113"/>
      <c r="BI142" s="113"/>
      <c r="BJ142" s="113"/>
      <c r="BK142" s="113"/>
      <c r="BL142" s="113"/>
      <c r="BM142" s="113"/>
      <c r="BN142" s="113"/>
      <c r="BO142" s="113"/>
      <c r="BP142" s="113"/>
      <c r="BQ142" s="113"/>
      <c r="BR142" s="113"/>
      <c r="BS142" s="113"/>
      <c r="BT142" s="113"/>
      <c r="BU142" s="113"/>
      <c r="BV142" s="113"/>
      <c r="BW142" s="113"/>
      <c r="BX142" s="113"/>
      <c r="BY142" s="113"/>
      <c r="BZ142" s="113"/>
      <c r="CA142" s="113"/>
      <c r="CB142" s="113"/>
    </row>
    <row r="143" spans="3:80" x14ac:dyDescent="0.25">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3"/>
      <c r="AY143" s="113"/>
      <c r="AZ143" s="113"/>
      <c r="BA143" s="113"/>
      <c r="BB143" s="113"/>
      <c r="BC143" s="113"/>
      <c r="BD143" s="113"/>
      <c r="BE143" s="113"/>
      <c r="BF143" s="113"/>
      <c r="BG143" s="113"/>
      <c r="BH143" s="113"/>
      <c r="BI143" s="113"/>
      <c r="BJ143" s="113"/>
      <c r="BK143" s="113"/>
      <c r="BL143" s="113"/>
      <c r="BM143" s="113"/>
      <c r="BN143" s="113"/>
      <c r="BO143" s="113"/>
      <c r="BP143" s="113"/>
      <c r="BQ143" s="113"/>
      <c r="BR143" s="113"/>
      <c r="BS143" s="113"/>
      <c r="BT143" s="113"/>
      <c r="BU143" s="113"/>
      <c r="BV143" s="113"/>
      <c r="BW143" s="113"/>
      <c r="BX143" s="113"/>
      <c r="BY143" s="113"/>
      <c r="BZ143" s="113"/>
      <c r="CA143" s="113"/>
      <c r="CB143" s="113"/>
    </row>
    <row r="144" spans="3:80" x14ac:dyDescent="0.25">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3"/>
      <c r="AY144" s="113"/>
      <c r="AZ144" s="113"/>
      <c r="BA144" s="113"/>
      <c r="BB144" s="113"/>
      <c r="BC144" s="113"/>
      <c r="BD144" s="113"/>
      <c r="BE144" s="113"/>
      <c r="BF144" s="113"/>
      <c r="BG144" s="113"/>
      <c r="BH144" s="113"/>
      <c r="BI144" s="113"/>
      <c r="BJ144" s="113"/>
      <c r="BK144" s="113"/>
      <c r="BL144" s="113"/>
      <c r="BM144" s="113"/>
      <c r="BN144" s="113"/>
      <c r="BO144" s="113"/>
      <c r="BP144" s="113"/>
      <c r="BQ144" s="113"/>
      <c r="BR144" s="113"/>
      <c r="BS144" s="113"/>
      <c r="BT144" s="113"/>
      <c r="BU144" s="113"/>
      <c r="BV144" s="113"/>
      <c r="BW144" s="113"/>
      <c r="BX144" s="113"/>
      <c r="BY144" s="113"/>
      <c r="BZ144" s="113"/>
      <c r="CA144" s="113"/>
      <c r="CB144" s="113"/>
    </row>
    <row r="145" spans="5:80" x14ac:dyDescent="0.25">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3"/>
      <c r="AY145" s="113"/>
      <c r="AZ145" s="113"/>
      <c r="BA145" s="113"/>
      <c r="BB145" s="113"/>
      <c r="BC145" s="113"/>
      <c r="BD145" s="113"/>
      <c r="BE145" s="113"/>
      <c r="BF145" s="113"/>
      <c r="BG145" s="113"/>
      <c r="BH145" s="113"/>
      <c r="BI145" s="113"/>
      <c r="BJ145" s="113"/>
      <c r="BK145" s="113"/>
      <c r="BL145" s="113"/>
      <c r="BM145" s="113"/>
      <c r="BN145" s="113"/>
      <c r="BO145" s="113"/>
      <c r="BP145" s="113"/>
      <c r="BQ145" s="113"/>
      <c r="BR145" s="113"/>
      <c r="BS145" s="113"/>
      <c r="BT145" s="113"/>
      <c r="BU145" s="113"/>
      <c r="BV145" s="113"/>
      <c r="BW145" s="113"/>
      <c r="BX145" s="113"/>
      <c r="BY145" s="113"/>
      <c r="BZ145" s="113"/>
      <c r="CA145" s="113"/>
      <c r="CB145" s="113"/>
    </row>
    <row r="146" spans="5:80" x14ac:dyDescent="0.25">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3"/>
      <c r="AY146" s="113"/>
      <c r="AZ146" s="113"/>
      <c r="BA146" s="113"/>
      <c r="BB146" s="113"/>
      <c r="BC146" s="113"/>
      <c r="BD146" s="113"/>
      <c r="BE146" s="113"/>
      <c r="BF146" s="113"/>
      <c r="BG146" s="113"/>
      <c r="BH146" s="113"/>
      <c r="BI146" s="113"/>
      <c r="BJ146" s="113"/>
      <c r="BK146" s="113"/>
      <c r="BL146" s="113"/>
      <c r="BM146" s="113"/>
      <c r="BN146" s="113"/>
      <c r="BO146" s="113"/>
      <c r="BP146" s="113"/>
      <c r="BQ146" s="113"/>
      <c r="BR146" s="113"/>
      <c r="BS146" s="113"/>
      <c r="BT146" s="113"/>
      <c r="BU146" s="113"/>
      <c r="BV146" s="113"/>
      <c r="BW146" s="113"/>
      <c r="BX146" s="113"/>
      <c r="BY146" s="113"/>
      <c r="BZ146" s="113"/>
      <c r="CA146" s="113"/>
      <c r="CB146" s="113"/>
    </row>
    <row r="147" spans="5:80" x14ac:dyDescent="0.25">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3"/>
      <c r="AY147" s="113"/>
      <c r="AZ147" s="113"/>
      <c r="BA147" s="113"/>
      <c r="BB147" s="113"/>
      <c r="BC147" s="113"/>
      <c r="BD147" s="113"/>
      <c r="BE147" s="113"/>
      <c r="BF147" s="113"/>
      <c r="BG147" s="113"/>
      <c r="BH147" s="113"/>
      <c r="BI147" s="113"/>
      <c r="BJ147" s="113"/>
      <c r="BK147" s="113"/>
      <c r="BL147" s="113"/>
      <c r="BM147" s="113"/>
      <c r="BN147" s="113"/>
      <c r="BO147" s="113"/>
      <c r="BP147" s="113"/>
      <c r="BQ147" s="113"/>
      <c r="BR147" s="113"/>
      <c r="BS147" s="113"/>
      <c r="BT147" s="113"/>
      <c r="BU147" s="113"/>
      <c r="BV147" s="113"/>
      <c r="BW147" s="113"/>
      <c r="BX147" s="113"/>
      <c r="BY147" s="113"/>
      <c r="BZ147" s="113"/>
      <c r="CA147" s="113"/>
      <c r="CB147" s="113"/>
    </row>
    <row r="148" spans="5:80" x14ac:dyDescent="0.25">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3"/>
      <c r="AY148" s="113"/>
      <c r="AZ148" s="113"/>
      <c r="BA148" s="113"/>
      <c r="BB148" s="113"/>
      <c r="BC148" s="113"/>
      <c r="BD148" s="113"/>
      <c r="BE148" s="113"/>
      <c r="BF148" s="113"/>
      <c r="BG148" s="113"/>
      <c r="BH148" s="113"/>
      <c r="BI148" s="113"/>
      <c r="BJ148" s="113"/>
      <c r="BK148" s="113"/>
      <c r="BL148" s="113"/>
      <c r="BM148" s="113"/>
      <c r="BN148" s="113"/>
      <c r="BO148" s="113"/>
      <c r="BP148" s="113"/>
      <c r="BQ148" s="113"/>
      <c r="BR148" s="113"/>
      <c r="BS148" s="113"/>
      <c r="BT148" s="113"/>
      <c r="BU148" s="113"/>
      <c r="BV148" s="113"/>
      <c r="BW148" s="113"/>
      <c r="BX148" s="113"/>
      <c r="BY148" s="113"/>
      <c r="BZ148" s="113"/>
      <c r="CA148" s="113"/>
      <c r="CB148" s="113"/>
    </row>
    <row r="149" spans="5:80" x14ac:dyDescent="0.25">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3"/>
      <c r="AY149" s="113"/>
      <c r="AZ149" s="113"/>
      <c r="BA149" s="113"/>
      <c r="BB149" s="113"/>
      <c r="BC149" s="113"/>
      <c r="BD149" s="113"/>
      <c r="BE149" s="113"/>
      <c r="BF149" s="113"/>
      <c r="BG149" s="113"/>
      <c r="BH149" s="113"/>
      <c r="BI149" s="113"/>
      <c r="BJ149" s="113"/>
      <c r="BK149" s="113"/>
      <c r="BL149" s="113"/>
      <c r="BM149" s="113"/>
      <c r="BN149" s="113"/>
      <c r="BO149" s="113"/>
      <c r="BP149" s="113"/>
      <c r="BQ149" s="113"/>
      <c r="BR149" s="113"/>
      <c r="BS149" s="113"/>
      <c r="BT149" s="113"/>
      <c r="BU149" s="113"/>
      <c r="BV149" s="113"/>
      <c r="BW149" s="113"/>
      <c r="BX149" s="113"/>
      <c r="BY149" s="113"/>
      <c r="BZ149" s="113"/>
      <c r="CA149" s="113"/>
      <c r="CB149" s="113"/>
    </row>
    <row r="150" spans="5:80" x14ac:dyDescent="0.25">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3"/>
      <c r="AY150" s="113"/>
      <c r="AZ150" s="113"/>
      <c r="BA150" s="113"/>
      <c r="BB150" s="113"/>
      <c r="BC150" s="113"/>
      <c r="BD150" s="113"/>
      <c r="BE150" s="113"/>
      <c r="BF150" s="113"/>
      <c r="BG150" s="113"/>
      <c r="BH150" s="113"/>
      <c r="BI150" s="113"/>
      <c r="BJ150" s="113"/>
      <c r="BK150" s="113"/>
      <c r="BL150" s="113"/>
      <c r="BM150" s="113"/>
      <c r="BN150" s="113"/>
      <c r="BO150" s="113"/>
      <c r="BP150" s="113"/>
      <c r="BQ150" s="113"/>
      <c r="BR150" s="113"/>
      <c r="BS150" s="113"/>
      <c r="BT150" s="113"/>
      <c r="BU150" s="113"/>
      <c r="BV150" s="113"/>
      <c r="BW150" s="113"/>
      <c r="BX150" s="113"/>
      <c r="BY150" s="113"/>
      <c r="BZ150" s="113"/>
      <c r="CA150" s="113"/>
      <c r="CB150" s="113"/>
    </row>
    <row r="151" spans="5:80" x14ac:dyDescent="0.25">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3"/>
      <c r="AY151" s="113"/>
      <c r="AZ151" s="113"/>
      <c r="BA151" s="113"/>
      <c r="BB151" s="113"/>
      <c r="BC151" s="113"/>
      <c r="BD151" s="113"/>
      <c r="BE151" s="113"/>
      <c r="BF151" s="113"/>
      <c r="BG151" s="113"/>
      <c r="BH151" s="113"/>
      <c r="BI151" s="113"/>
      <c r="BJ151" s="113"/>
      <c r="BK151" s="113"/>
      <c r="BL151" s="113"/>
      <c r="BM151" s="113"/>
      <c r="BN151" s="113"/>
      <c r="BO151" s="113"/>
      <c r="BP151" s="113"/>
      <c r="BQ151" s="113"/>
      <c r="BR151" s="113"/>
      <c r="BS151" s="113"/>
      <c r="BT151" s="113"/>
      <c r="BU151" s="113"/>
      <c r="BV151" s="113"/>
      <c r="BW151" s="113"/>
      <c r="BX151" s="113"/>
      <c r="BY151" s="113"/>
      <c r="BZ151" s="113"/>
      <c r="CA151" s="113"/>
      <c r="CB151" s="113"/>
    </row>
    <row r="152" spans="5:80" x14ac:dyDescent="0.25">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3"/>
      <c r="AY152" s="113"/>
      <c r="AZ152" s="113"/>
      <c r="BA152" s="113"/>
      <c r="BB152" s="113"/>
      <c r="BC152" s="113"/>
      <c r="BD152" s="113"/>
      <c r="BE152" s="113"/>
      <c r="BF152" s="113"/>
      <c r="BG152" s="113"/>
      <c r="BH152" s="113"/>
      <c r="BI152" s="113"/>
      <c r="BJ152" s="113"/>
      <c r="BK152" s="113"/>
      <c r="BL152" s="113"/>
      <c r="BM152" s="113"/>
      <c r="BN152" s="113"/>
      <c r="BO152" s="113"/>
      <c r="BP152" s="113"/>
      <c r="BQ152" s="113"/>
      <c r="BR152" s="113"/>
      <c r="BS152" s="113"/>
      <c r="BT152" s="113"/>
      <c r="BU152" s="113"/>
      <c r="BV152" s="113"/>
      <c r="BW152" s="113"/>
      <c r="BX152" s="113"/>
      <c r="BY152" s="113"/>
      <c r="BZ152" s="113"/>
      <c r="CA152" s="113"/>
      <c r="CB152" s="113"/>
    </row>
    <row r="153" spans="5:80" x14ac:dyDescent="0.25">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3"/>
      <c r="AY153" s="113"/>
      <c r="AZ153" s="113"/>
      <c r="BA153" s="113"/>
      <c r="BB153" s="113"/>
      <c r="BC153" s="113"/>
      <c r="BD153" s="113"/>
      <c r="BE153" s="113"/>
      <c r="BF153" s="113"/>
      <c r="BG153" s="113"/>
      <c r="BH153" s="113"/>
      <c r="BI153" s="113"/>
      <c r="BJ153" s="113"/>
      <c r="BK153" s="113"/>
      <c r="BL153" s="113"/>
      <c r="BM153" s="113"/>
      <c r="BN153" s="113"/>
      <c r="BO153" s="113"/>
      <c r="BP153" s="113"/>
      <c r="BQ153" s="113"/>
      <c r="BR153" s="113"/>
      <c r="BS153" s="113"/>
      <c r="BT153" s="113"/>
      <c r="BU153" s="113"/>
      <c r="BV153" s="113"/>
      <c r="BW153" s="113"/>
      <c r="BX153" s="113"/>
      <c r="BY153" s="113"/>
      <c r="BZ153" s="113"/>
      <c r="CA153" s="113"/>
      <c r="CB153" s="113"/>
    </row>
    <row r="154" spans="5:80" x14ac:dyDescent="0.25">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3"/>
      <c r="AY154" s="113"/>
      <c r="AZ154" s="113"/>
      <c r="BA154" s="113"/>
      <c r="BB154" s="113"/>
      <c r="BC154" s="113"/>
      <c r="BD154" s="113"/>
      <c r="BE154" s="113"/>
      <c r="BF154" s="113"/>
      <c r="BG154" s="113"/>
      <c r="BH154" s="113"/>
      <c r="BI154" s="113"/>
      <c r="BJ154" s="113"/>
      <c r="BK154" s="113"/>
      <c r="BL154" s="113"/>
      <c r="BM154" s="113"/>
      <c r="BN154" s="113"/>
      <c r="BO154" s="113"/>
      <c r="BP154" s="113"/>
      <c r="BQ154" s="113"/>
      <c r="BR154" s="113"/>
      <c r="BS154" s="113"/>
      <c r="BT154" s="113"/>
      <c r="BU154" s="113"/>
      <c r="BV154" s="113"/>
      <c r="BW154" s="113"/>
      <c r="BX154" s="113"/>
      <c r="BY154" s="113"/>
      <c r="BZ154" s="113"/>
      <c r="CA154" s="113"/>
      <c r="CB154" s="113"/>
    </row>
    <row r="155" spans="5:80" x14ac:dyDescent="0.25">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3"/>
      <c r="AY155" s="113"/>
      <c r="AZ155" s="113"/>
      <c r="BA155" s="113"/>
      <c r="BB155" s="113"/>
      <c r="BC155" s="113"/>
      <c r="BD155" s="113"/>
      <c r="BE155" s="113"/>
      <c r="BF155" s="113"/>
      <c r="BG155" s="113"/>
      <c r="BH155" s="113"/>
      <c r="BI155" s="113"/>
      <c r="BJ155" s="113"/>
      <c r="BK155" s="113"/>
      <c r="BL155" s="113"/>
      <c r="BM155" s="113"/>
      <c r="BN155" s="113"/>
      <c r="BO155" s="113"/>
      <c r="BP155" s="113"/>
      <c r="BQ155" s="113"/>
      <c r="BR155" s="113"/>
      <c r="BS155" s="113"/>
      <c r="BT155" s="113"/>
      <c r="BU155" s="113"/>
      <c r="BV155" s="113"/>
      <c r="BW155" s="113"/>
      <c r="BX155" s="113"/>
      <c r="BY155" s="113"/>
      <c r="BZ155" s="113"/>
      <c r="CA155" s="113"/>
      <c r="CB155" s="113"/>
    </row>
    <row r="156" spans="5:80" x14ac:dyDescent="0.25">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3"/>
      <c r="AY156" s="113"/>
      <c r="AZ156" s="113"/>
      <c r="BA156" s="113"/>
      <c r="BB156" s="113"/>
      <c r="BC156" s="113"/>
      <c r="BD156" s="113"/>
      <c r="BE156" s="113"/>
      <c r="BF156" s="113"/>
      <c r="BG156" s="113"/>
      <c r="BH156" s="113"/>
      <c r="BI156" s="113"/>
      <c r="BJ156" s="113"/>
      <c r="BK156" s="113"/>
      <c r="BL156" s="113"/>
      <c r="BM156" s="113"/>
      <c r="BN156" s="113"/>
      <c r="BO156" s="113"/>
      <c r="BP156" s="113"/>
      <c r="BQ156" s="113"/>
      <c r="BR156" s="113"/>
      <c r="BS156" s="113"/>
      <c r="BT156" s="113"/>
      <c r="BU156" s="113"/>
      <c r="BV156" s="113"/>
      <c r="BW156" s="113"/>
      <c r="BX156" s="113"/>
      <c r="BY156" s="113"/>
      <c r="BZ156" s="113"/>
      <c r="CA156" s="113"/>
      <c r="CB156" s="113"/>
    </row>
    <row r="157" spans="5:80" x14ac:dyDescent="0.25">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3"/>
      <c r="AY157" s="113"/>
      <c r="AZ157" s="113"/>
      <c r="BA157" s="113"/>
      <c r="BB157" s="113"/>
      <c r="BC157" s="113"/>
      <c r="BD157" s="113"/>
      <c r="BE157" s="113"/>
      <c r="BF157" s="113"/>
      <c r="BG157" s="113"/>
      <c r="BH157" s="113"/>
      <c r="BI157" s="113"/>
      <c r="BJ157" s="113"/>
      <c r="BK157" s="113"/>
      <c r="BL157" s="113"/>
      <c r="BM157" s="113"/>
      <c r="BN157" s="113"/>
      <c r="BO157" s="113"/>
      <c r="BP157" s="113"/>
      <c r="BQ157" s="113"/>
      <c r="BR157" s="113"/>
      <c r="BS157" s="113"/>
      <c r="BT157" s="113"/>
      <c r="BU157" s="113"/>
      <c r="BV157" s="113"/>
      <c r="BW157" s="113"/>
      <c r="BX157" s="113"/>
      <c r="BY157" s="113"/>
      <c r="BZ157" s="113"/>
      <c r="CA157" s="113"/>
      <c r="CB157" s="113"/>
    </row>
    <row r="158" spans="5:80" x14ac:dyDescent="0.25">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3"/>
      <c r="AY158" s="113"/>
      <c r="AZ158" s="113"/>
      <c r="BA158" s="113"/>
      <c r="BB158" s="113"/>
      <c r="BC158" s="113"/>
      <c r="BD158" s="113"/>
      <c r="BE158" s="113"/>
      <c r="BF158" s="113"/>
      <c r="BG158" s="113"/>
      <c r="BH158" s="113"/>
      <c r="BI158" s="113"/>
      <c r="BJ158" s="113"/>
      <c r="BK158" s="113"/>
      <c r="BL158" s="113"/>
      <c r="BM158" s="113"/>
      <c r="BN158" s="113"/>
      <c r="BO158" s="113"/>
      <c r="BP158" s="113"/>
      <c r="BQ158" s="113"/>
      <c r="BR158" s="113"/>
      <c r="BS158" s="113"/>
      <c r="BT158" s="113"/>
      <c r="BU158" s="113"/>
      <c r="BV158" s="113"/>
      <c r="BW158" s="113"/>
      <c r="BX158" s="113"/>
      <c r="BY158" s="113"/>
      <c r="BZ158" s="113"/>
      <c r="CA158" s="113"/>
      <c r="CB158" s="113"/>
    </row>
    <row r="159" spans="5:80" x14ac:dyDescent="0.25">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3"/>
      <c r="AY159" s="113"/>
      <c r="AZ159" s="113"/>
      <c r="BA159" s="113"/>
      <c r="BB159" s="113"/>
      <c r="BC159" s="113"/>
      <c r="BD159" s="113"/>
      <c r="BE159" s="113"/>
      <c r="BF159" s="113"/>
      <c r="BG159" s="113"/>
      <c r="BH159" s="113"/>
      <c r="BI159" s="113"/>
      <c r="BJ159" s="113"/>
      <c r="BK159" s="113"/>
      <c r="BL159" s="113"/>
      <c r="BM159" s="113"/>
      <c r="BN159" s="113"/>
      <c r="BO159" s="113"/>
      <c r="BP159" s="113"/>
      <c r="BQ159" s="113"/>
      <c r="BR159" s="113"/>
      <c r="BS159" s="113"/>
      <c r="BT159" s="113"/>
      <c r="BU159" s="113"/>
      <c r="BV159" s="113"/>
      <c r="BW159" s="113"/>
      <c r="BX159" s="113"/>
      <c r="BY159" s="113"/>
      <c r="BZ159" s="113"/>
      <c r="CA159" s="113"/>
      <c r="CB159" s="113"/>
    </row>
    <row r="160" spans="5:80" x14ac:dyDescent="0.25">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3"/>
      <c r="AY160" s="113"/>
      <c r="AZ160" s="113"/>
      <c r="BA160" s="113"/>
      <c r="BB160" s="113"/>
      <c r="BC160" s="113"/>
      <c r="BD160" s="113"/>
      <c r="BE160" s="113"/>
      <c r="BF160" s="113"/>
      <c r="BG160" s="113"/>
      <c r="BH160" s="113"/>
      <c r="BI160" s="113"/>
      <c r="BJ160" s="113"/>
      <c r="BK160" s="113"/>
      <c r="BL160" s="113"/>
      <c r="BM160" s="113"/>
      <c r="BN160" s="113"/>
      <c r="BO160" s="113"/>
      <c r="BP160" s="113"/>
      <c r="BQ160" s="113"/>
      <c r="BR160" s="113"/>
      <c r="BS160" s="113"/>
      <c r="BT160" s="113"/>
      <c r="BU160" s="113"/>
      <c r="BV160" s="113"/>
      <c r="BW160" s="113"/>
      <c r="BX160" s="113"/>
      <c r="BY160" s="113"/>
      <c r="BZ160" s="113"/>
      <c r="CA160" s="113"/>
      <c r="CB160" s="113"/>
    </row>
    <row r="161" spans="5:80" x14ac:dyDescent="0.25">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3"/>
      <c r="AY161" s="113"/>
      <c r="AZ161" s="113"/>
      <c r="BA161" s="113"/>
      <c r="BB161" s="113"/>
      <c r="BC161" s="113"/>
      <c r="BD161" s="113"/>
      <c r="BE161" s="113"/>
      <c r="BF161" s="113"/>
      <c r="BG161" s="113"/>
      <c r="BH161" s="113"/>
      <c r="BI161" s="113"/>
      <c r="BJ161" s="113"/>
      <c r="BK161" s="113"/>
      <c r="BL161" s="113"/>
      <c r="BM161" s="113"/>
      <c r="BN161" s="113"/>
      <c r="BO161" s="113"/>
      <c r="BP161" s="113"/>
      <c r="BQ161" s="113"/>
      <c r="BR161" s="113"/>
      <c r="BS161" s="113"/>
      <c r="BT161" s="113"/>
      <c r="BU161" s="113"/>
      <c r="BV161" s="113"/>
      <c r="BW161" s="113"/>
      <c r="BX161" s="113"/>
      <c r="BY161" s="113"/>
      <c r="BZ161" s="113"/>
      <c r="CA161" s="113"/>
      <c r="CB161" s="113"/>
    </row>
    <row r="162" spans="5:80" x14ac:dyDescent="0.25">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3"/>
      <c r="AY162" s="113"/>
      <c r="AZ162" s="113"/>
      <c r="BA162" s="113"/>
      <c r="BB162" s="113"/>
      <c r="BC162" s="113"/>
      <c r="BD162" s="113"/>
      <c r="BE162" s="113"/>
      <c r="BF162" s="113"/>
      <c r="BG162" s="113"/>
      <c r="BH162" s="113"/>
      <c r="BI162" s="113"/>
      <c r="BJ162" s="113"/>
      <c r="BK162" s="113"/>
      <c r="BL162" s="113"/>
      <c r="BM162" s="113"/>
      <c r="BN162" s="113"/>
      <c r="BO162" s="113"/>
      <c r="BP162" s="113"/>
      <c r="BQ162" s="113"/>
      <c r="BR162" s="113"/>
      <c r="BS162" s="113"/>
      <c r="BT162" s="113"/>
      <c r="BU162" s="113"/>
      <c r="BV162" s="113"/>
      <c r="BW162" s="113"/>
      <c r="BX162" s="113"/>
      <c r="BY162" s="113"/>
      <c r="BZ162" s="113"/>
      <c r="CA162" s="113"/>
      <c r="CB162" s="113"/>
    </row>
    <row r="163" spans="5:80" x14ac:dyDescent="0.25">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3"/>
      <c r="AY163" s="113"/>
      <c r="AZ163" s="113"/>
      <c r="BA163" s="113"/>
      <c r="BB163" s="113"/>
      <c r="BC163" s="113"/>
      <c r="BD163" s="113"/>
      <c r="BE163" s="113"/>
      <c r="BF163" s="113"/>
      <c r="BG163" s="113"/>
      <c r="BH163" s="113"/>
      <c r="BI163" s="113"/>
      <c r="BJ163" s="113"/>
      <c r="BK163" s="113"/>
      <c r="BL163" s="113"/>
      <c r="BM163" s="113"/>
      <c r="BN163" s="113"/>
      <c r="BO163" s="113"/>
      <c r="BP163" s="113"/>
      <c r="BQ163" s="113"/>
      <c r="BR163" s="113"/>
      <c r="BS163" s="113"/>
      <c r="BT163" s="113"/>
      <c r="BU163" s="113"/>
      <c r="BV163" s="113"/>
      <c r="BW163" s="113"/>
      <c r="BX163" s="113"/>
      <c r="BY163" s="113"/>
      <c r="BZ163" s="113"/>
      <c r="CA163" s="113"/>
      <c r="CB163" s="113"/>
    </row>
    <row r="164" spans="5:80" x14ac:dyDescent="0.25">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3"/>
      <c r="AY164" s="113"/>
      <c r="AZ164" s="113"/>
      <c r="BA164" s="113"/>
      <c r="BB164" s="113"/>
      <c r="BC164" s="113"/>
      <c r="BD164" s="113"/>
      <c r="BE164" s="113"/>
      <c r="BF164" s="113"/>
      <c r="BG164" s="113"/>
      <c r="BH164" s="113"/>
      <c r="BI164" s="113"/>
      <c r="BJ164" s="113"/>
      <c r="BK164" s="113"/>
      <c r="BL164" s="113"/>
      <c r="BM164" s="113"/>
      <c r="BN164" s="113"/>
      <c r="BO164" s="113"/>
      <c r="BP164" s="113"/>
      <c r="BQ164" s="113"/>
      <c r="BR164" s="113"/>
      <c r="BS164" s="113"/>
      <c r="BT164" s="113"/>
      <c r="BU164" s="113"/>
      <c r="BV164" s="113"/>
      <c r="BW164" s="113"/>
      <c r="BX164" s="113"/>
      <c r="BY164" s="113"/>
      <c r="BZ164" s="113"/>
      <c r="CA164" s="113"/>
      <c r="CB164" s="113"/>
    </row>
    <row r="165" spans="5:80" x14ac:dyDescent="0.25">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3"/>
      <c r="AY165" s="113"/>
      <c r="AZ165" s="113"/>
      <c r="BA165" s="113"/>
      <c r="BB165" s="113"/>
      <c r="BC165" s="113"/>
      <c r="BD165" s="113"/>
      <c r="BE165" s="113"/>
      <c r="BF165" s="113"/>
      <c r="BG165" s="113"/>
      <c r="BH165" s="113"/>
      <c r="BI165" s="113"/>
      <c r="BJ165" s="113"/>
      <c r="BK165" s="113"/>
      <c r="BL165" s="113"/>
      <c r="BM165" s="113"/>
      <c r="BN165" s="113"/>
      <c r="BO165" s="113"/>
      <c r="BP165" s="113"/>
      <c r="BQ165" s="113"/>
      <c r="BR165" s="113"/>
      <c r="BS165" s="113"/>
      <c r="BT165" s="113"/>
      <c r="BU165" s="113"/>
      <c r="BV165" s="113"/>
      <c r="BW165" s="113"/>
      <c r="BX165" s="113"/>
      <c r="BY165" s="113"/>
      <c r="BZ165" s="113"/>
      <c r="CA165" s="113"/>
      <c r="CB165" s="113"/>
    </row>
    <row r="166" spans="5:80" x14ac:dyDescent="0.25">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3"/>
      <c r="AY166" s="113"/>
      <c r="AZ166" s="113"/>
      <c r="BA166" s="113"/>
      <c r="BB166" s="113"/>
      <c r="BC166" s="113"/>
      <c r="BD166" s="113"/>
      <c r="BE166" s="113"/>
      <c r="BF166" s="113"/>
      <c r="BG166" s="113"/>
      <c r="BH166" s="113"/>
      <c r="BI166" s="113"/>
      <c r="BJ166" s="113"/>
      <c r="BK166" s="113"/>
      <c r="BL166" s="113"/>
      <c r="BM166" s="113"/>
      <c r="BN166" s="113"/>
      <c r="BO166" s="113"/>
      <c r="BP166" s="113"/>
      <c r="BQ166" s="113"/>
      <c r="BR166" s="113"/>
      <c r="BS166" s="113"/>
      <c r="BT166" s="113"/>
      <c r="BU166" s="113"/>
      <c r="BV166" s="113"/>
      <c r="BW166" s="113"/>
      <c r="BX166" s="113"/>
      <c r="BY166" s="113"/>
      <c r="BZ166" s="113"/>
      <c r="CA166" s="113"/>
      <c r="CB166" s="113"/>
    </row>
    <row r="167" spans="5:80" x14ac:dyDescent="0.25">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3"/>
      <c r="AY167" s="113"/>
      <c r="AZ167" s="113"/>
      <c r="BA167" s="113"/>
      <c r="BB167" s="113"/>
      <c r="BC167" s="113"/>
      <c r="BD167" s="113"/>
      <c r="BE167" s="113"/>
      <c r="BF167" s="113"/>
      <c r="BG167" s="113"/>
      <c r="BH167" s="113"/>
      <c r="BI167" s="113"/>
      <c r="BJ167" s="113"/>
      <c r="BK167" s="113"/>
      <c r="BL167" s="113"/>
      <c r="BM167" s="113"/>
      <c r="BN167" s="113"/>
      <c r="BO167" s="113"/>
      <c r="BP167" s="113"/>
      <c r="BQ167" s="113"/>
      <c r="BR167" s="113"/>
      <c r="BS167" s="113"/>
      <c r="BT167" s="113"/>
      <c r="BU167" s="113"/>
      <c r="BV167" s="113"/>
      <c r="BW167" s="113"/>
      <c r="BX167" s="113"/>
      <c r="BY167" s="113"/>
      <c r="BZ167" s="113"/>
      <c r="CA167" s="113"/>
      <c r="CB167" s="113"/>
    </row>
    <row r="168" spans="5:80" x14ac:dyDescent="0.25">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3"/>
      <c r="AY168" s="113"/>
      <c r="AZ168" s="113"/>
      <c r="BA168" s="113"/>
      <c r="BB168" s="113"/>
      <c r="BC168" s="113"/>
      <c r="BD168" s="113"/>
      <c r="BE168" s="113"/>
      <c r="BF168" s="113"/>
      <c r="BG168" s="113"/>
      <c r="BH168" s="113"/>
      <c r="BI168" s="113"/>
      <c r="BJ168" s="113"/>
      <c r="BK168" s="113"/>
      <c r="BL168" s="113"/>
      <c r="BM168" s="113"/>
      <c r="BN168" s="113"/>
      <c r="BO168" s="113"/>
      <c r="BP168" s="113"/>
      <c r="BQ168" s="113"/>
      <c r="BR168" s="113"/>
      <c r="BS168" s="113"/>
      <c r="BT168" s="113"/>
      <c r="BU168" s="113"/>
      <c r="BV168" s="113"/>
      <c r="BW168" s="113"/>
      <c r="BX168" s="113"/>
      <c r="BY168" s="113"/>
      <c r="BZ168" s="113"/>
      <c r="CA168" s="113"/>
      <c r="CB168" s="113"/>
    </row>
    <row r="169" spans="5:80" x14ac:dyDescent="0.25">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3"/>
      <c r="AY169" s="113"/>
      <c r="AZ169" s="113"/>
      <c r="BA169" s="113"/>
      <c r="BB169" s="113"/>
      <c r="BC169" s="113"/>
      <c r="BD169" s="113"/>
      <c r="BE169" s="113"/>
      <c r="BF169" s="113"/>
      <c r="BG169" s="113"/>
      <c r="BH169" s="113"/>
      <c r="BI169" s="113"/>
      <c r="BJ169" s="113"/>
      <c r="BK169" s="113"/>
      <c r="BL169" s="113"/>
      <c r="BM169" s="113"/>
      <c r="BN169" s="113"/>
      <c r="BO169" s="113"/>
      <c r="BP169" s="113"/>
      <c r="BQ169" s="113"/>
      <c r="BR169" s="113"/>
      <c r="BS169" s="113"/>
      <c r="BT169" s="113"/>
      <c r="BU169" s="113"/>
      <c r="BV169" s="113"/>
      <c r="BW169" s="113"/>
      <c r="BX169" s="113"/>
      <c r="BY169" s="113"/>
      <c r="BZ169" s="113"/>
      <c r="CA169" s="113"/>
      <c r="CB169" s="113"/>
    </row>
    <row r="170" spans="5:80" x14ac:dyDescent="0.25">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3"/>
      <c r="AY170" s="113"/>
      <c r="AZ170" s="113"/>
      <c r="BA170" s="113"/>
      <c r="BB170" s="113"/>
      <c r="BC170" s="113"/>
      <c r="BD170" s="113"/>
      <c r="BE170" s="113"/>
      <c r="BF170" s="113"/>
      <c r="BG170" s="113"/>
      <c r="BH170" s="113"/>
      <c r="BI170" s="113"/>
      <c r="BJ170" s="113"/>
      <c r="BK170" s="113"/>
      <c r="BL170" s="113"/>
      <c r="BM170" s="113"/>
      <c r="BN170" s="113"/>
      <c r="BO170" s="113"/>
      <c r="BP170" s="113"/>
      <c r="BQ170" s="113"/>
      <c r="BR170" s="113"/>
      <c r="BS170" s="113"/>
      <c r="BT170" s="113"/>
      <c r="BU170" s="113"/>
      <c r="BV170" s="113"/>
      <c r="BW170" s="113"/>
      <c r="BX170" s="113"/>
      <c r="BY170" s="113"/>
      <c r="BZ170" s="113"/>
      <c r="CA170" s="113"/>
      <c r="CB170" s="113"/>
    </row>
    <row r="171" spans="5:80" x14ac:dyDescent="0.25">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3"/>
      <c r="AY171" s="113"/>
      <c r="AZ171" s="113"/>
      <c r="BA171" s="113"/>
      <c r="BB171" s="113"/>
      <c r="BC171" s="113"/>
      <c r="BD171" s="113"/>
      <c r="BE171" s="113"/>
      <c r="BF171" s="113"/>
      <c r="BG171" s="113"/>
      <c r="BH171" s="113"/>
      <c r="BI171" s="113"/>
      <c r="BJ171" s="113"/>
      <c r="BK171" s="113"/>
      <c r="BL171" s="113"/>
      <c r="BM171" s="113"/>
      <c r="BN171" s="113"/>
      <c r="BO171" s="113"/>
      <c r="BP171" s="113"/>
      <c r="BQ171" s="113"/>
      <c r="BR171" s="113"/>
      <c r="BS171" s="113"/>
      <c r="BT171" s="113"/>
      <c r="BU171" s="113"/>
      <c r="BV171" s="113"/>
      <c r="BW171" s="113"/>
      <c r="BX171" s="113"/>
      <c r="BY171" s="113"/>
      <c r="BZ171" s="113"/>
      <c r="CA171" s="113"/>
      <c r="CB171" s="113"/>
    </row>
    <row r="172" spans="5:80" x14ac:dyDescent="0.25">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3"/>
      <c r="AY172" s="113"/>
      <c r="AZ172" s="113"/>
      <c r="BA172" s="113"/>
      <c r="BB172" s="113"/>
      <c r="BC172" s="113"/>
      <c r="BD172" s="113"/>
      <c r="BE172" s="113"/>
      <c r="BF172" s="113"/>
      <c r="BG172" s="113"/>
      <c r="BH172" s="113"/>
      <c r="BI172" s="113"/>
      <c r="BJ172" s="113"/>
      <c r="BK172" s="113"/>
      <c r="BL172" s="113"/>
      <c r="BM172" s="113"/>
      <c r="BN172" s="113"/>
      <c r="BO172" s="113"/>
      <c r="BP172" s="113"/>
      <c r="BQ172" s="113"/>
      <c r="BR172" s="113"/>
      <c r="BS172" s="113"/>
      <c r="BT172" s="113"/>
      <c r="BU172" s="113"/>
      <c r="BV172" s="113"/>
      <c r="BW172" s="113"/>
      <c r="BX172" s="113"/>
      <c r="BY172" s="113"/>
      <c r="BZ172" s="113"/>
      <c r="CA172" s="113"/>
      <c r="CB172" s="113"/>
    </row>
    <row r="173" spans="5:80" x14ac:dyDescent="0.25">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3"/>
      <c r="AY173" s="113"/>
      <c r="AZ173" s="113"/>
      <c r="BA173" s="113"/>
      <c r="BB173" s="113"/>
      <c r="BC173" s="113"/>
      <c r="BD173" s="113"/>
      <c r="BE173" s="113"/>
      <c r="BF173" s="113"/>
      <c r="BG173" s="113"/>
      <c r="BH173" s="113"/>
      <c r="BI173" s="113"/>
      <c r="BJ173" s="113"/>
      <c r="BK173" s="113"/>
      <c r="BL173" s="113"/>
      <c r="BM173" s="113"/>
      <c r="BN173" s="113"/>
      <c r="BO173" s="113"/>
      <c r="BP173" s="113"/>
      <c r="BQ173" s="113"/>
      <c r="BR173" s="113"/>
      <c r="BS173" s="113"/>
      <c r="BT173" s="113"/>
      <c r="BU173" s="113"/>
      <c r="BV173" s="113"/>
      <c r="BW173" s="113"/>
      <c r="BX173" s="113"/>
      <c r="BY173" s="113"/>
      <c r="BZ173" s="113"/>
      <c r="CA173" s="113"/>
      <c r="CB173" s="113"/>
    </row>
    <row r="174" spans="5:80" x14ac:dyDescent="0.25">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3"/>
      <c r="AY174" s="113"/>
      <c r="AZ174" s="113"/>
      <c r="BA174" s="113"/>
      <c r="BB174" s="113"/>
      <c r="BC174" s="113"/>
      <c r="BD174" s="113"/>
      <c r="BE174" s="113"/>
      <c r="BF174" s="113"/>
      <c r="BG174" s="113"/>
      <c r="BH174" s="113"/>
      <c r="BI174" s="113"/>
      <c r="BJ174" s="113"/>
      <c r="BK174" s="113"/>
      <c r="BL174" s="113"/>
      <c r="BM174" s="113"/>
      <c r="BN174" s="113"/>
      <c r="BO174" s="113"/>
      <c r="BP174" s="113"/>
      <c r="BQ174" s="113"/>
      <c r="BR174" s="113"/>
      <c r="BS174" s="113"/>
      <c r="BT174" s="113"/>
      <c r="BU174" s="113"/>
      <c r="BV174" s="113"/>
      <c r="BW174" s="113"/>
      <c r="BX174" s="113"/>
      <c r="BY174" s="113"/>
      <c r="BZ174" s="113"/>
      <c r="CA174" s="113"/>
      <c r="CB174" s="113"/>
    </row>
    <row r="175" spans="5:80" x14ac:dyDescent="0.25">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3"/>
      <c r="AY175" s="113"/>
      <c r="AZ175" s="113"/>
      <c r="BA175" s="113"/>
      <c r="BB175" s="113"/>
      <c r="BC175" s="113"/>
      <c r="BD175" s="113"/>
      <c r="BE175" s="113"/>
      <c r="BF175" s="113"/>
      <c r="BG175" s="113"/>
      <c r="BH175" s="113"/>
      <c r="BI175" s="113"/>
      <c r="BJ175" s="113"/>
      <c r="BK175" s="113"/>
      <c r="BL175" s="113"/>
      <c r="BM175" s="113"/>
      <c r="BN175" s="113"/>
      <c r="BO175" s="113"/>
      <c r="BP175" s="113"/>
      <c r="BQ175" s="113"/>
      <c r="BR175" s="113"/>
      <c r="BS175" s="113"/>
      <c r="BT175" s="113"/>
      <c r="BU175" s="113"/>
      <c r="BV175" s="113"/>
      <c r="BW175" s="113"/>
      <c r="BX175" s="113"/>
      <c r="BY175" s="113"/>
      <c r="BZ175" s="113"/>
      <c r="CA175" s="113"/>
      <c r="CB175" s="113"/>
    </row>
    <row r="176" spans="5:80" x14ac:dyDescent="0.25">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3"/>
      <c r="AY176" s="113"/>
      <c r="AZ176" s="113"/>
      <c r="BA176" s="113"/>
      <c r="BB176" s="113"/>
      <c r="BC176" s="113"/>
      <c r="BD176" s="113"/>
      <c r="BE176" s="113"/>
      <c r="BF176" s="113"/>
      <c r="BG176" s="113"/>
      <c r="BH176" s="113"/>
      <c r="BI176" s="113"/>
      <c r="BJ176" s="113"/>
      <c r="BK176" s="113"/>
      <c r="BL176" s="113"/>
      <c r="BM176" s="113"/>
      <c r="BN176" s="113"/>
      <c r="BO176" s="113"/>
      <c r="BP176" s="113"/>
      <c r="BQ176" s="113"/>
      <c r="BR176" s="113"/>
      <c r="BS176" s="113"/>
      <c r="BT176" s="113"/>
      <c r="BU176" s="113"/>
      <c r="BV176" s="113"/>
      <c r="BW176" s="113"/>
      <c r="BX176" s="113"/>
      <c r="BY176" s="113"/>
      <c r="BZ176" s="113"/>
      <c r="CA176" s="113"/>
      <c r="CB176" s="113"/>
    </row>
    <row r="177" spans="5:80" x14ac:dyDescent="0.25">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3"/>
      <c r="AY177" s="113"/>
      <c r="AZ177" s="113"/>
      <c r="BA177" s="113"/>
      <c r="BB177" s="113"/>
      <c r="BC177" s="113"/>
      <c r="BD177" s="113"/>
      <c r="BE177" s="113"/>
      <c r="BF177" s="113"/>
      <c r="BG177" s="113"/>
      <c r="BH177" s="113"/>
      <c r="BI177" s="113"/>
      <c r="BJ177" s="113"/>
      <c r="BK177" s="113"/>
      <c r="BL177" s="113"/>
      <c r="BM177" s="113"/>
      <c r="BN177" s="113"/>
      <c r="BO177" s="113"/>
      <c r="BP177" s="113"/>
      <c r="BQ177" s="113"/>
      <c r="BR177" s="113"/>
      <c r="BS177" s="113"/>
      <c r="BT177" s="113"/>
      <c r="BU177" s="113"/>
      <c r="BV177" s="113"/>
      <c r="BW177" s="113"/>
      <c r="BX177" s="113"/>
      <c r="BY177" s="113"/>
      <c r="BZ177" s="113"/>
      <c r="CA177" s="113"/>
      <c r="CB177" s="113"/>
    </row>
    <row r="178" spans="5:80" x14ac:dyDescent="0.25">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3"/>
      <c r="AY178" s="113"/>
      <c r="AZ178" s="113"/>
      <c r="BA178" s="113"/>
      <c r="BB178" s="113"/>
      <c r="BC178" s="113"/>
      <c r="BD178" s="113"/>
      <c r="BE178" s="113"/>
      <c r="BF178" s="113"/>
      <c r="BG178" s="113"/>
      <c r="BH178" s="113"/>
      <c r="BI178" s="113"/>
      <c r="BJ178" s="113"/>
      <c r="BK178" s="113"/>
      <c r="BL178" s="113"/>
      <c r="BM178" s="113"/>
      <c r="BN178" s="113"/>
      <c r="BO178" s="113"/>
      <c r="BP178" s="113"/>
      <c r="BQ178" s="113"/>
      <c r="BR178" s="113"/>
      <c r="BS178" s="113"/>
      <c r="BT178" s="113"/>
      <c r="BU178" s="113"/>
      <c r="BV178" s="113"/>
      <c r="BW178" s="113"/>
      <c r="BX178" s="113"/>
      <c r="BY178" s="113"/>
      <c r="BZ178" s="113"/>
      <c r="CA178" s="113"/>
      <c r="CB178" s="113"/>
    </row>
    <row r="179" spans="5:80" x14ac:dyDescent="0.25">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3"/>
      <c r="AY179" s="113"/>
      <c r="AZ179" s="113"/>
      <c r="BA179" s="113"/>
      <c r="BB179" s="113"/>
      <c r="BC179" s="113"/>
      <c r="BD179" s="113"/>
      <c r="BE179" s="113"/>
      <c r="BF179" s="113"/>
      <c r="BG179" s="113"/>
      <c r="BH179" s="113"/>
      <c r="BI179" s="113"/>
      <c r="BJ179" s="113"/>
      <c r="BK179" s="113"/>
      <c r="BL179" s="113"/>
      <c r="BM179" s="113"/>
      <c r="BN179" s="113"/>
      <c r="BO179" s="113"/>
      <c r="BP179" s="113"/>
      <c r="BQ179" s="113"/>
      <c r="BR179" s="113"/>
      <c r="BS179" s="113"/>
      <c r="BT179" s="113"/>
      <c r="BU179" s="113"/>
      <c r="BV179" s="113"/>
      <c r="BW179" s="113"/>
      <c r="BX179" s="113"/>
      <c r="BY179" s="113"/>
      <c r="BZ179" s="113"/>
      <c r="CA179" s="113"/>
      <c r="CB179" s="113"/>
    </row>
    <row r="180" spans="5:80" x14ac:dyDescent="0.25">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3"/>
      <c r="AY180" s="113"/>
      <c r="AZ180" s="113"/>
      <c r="BA180" s="113"/>
      <c r="BB180" s="113"/>
      <c r="BC180" s="113"/>
      <c r="BD180" s="113"/>
      <c r="BE180" s="113"/>
      <c r="BF180" s="113"/>
      <c r="BG180" s="113"/>
      <c r="BH180" s="113"/>
      <c r="BI180" s="113"/>
      <c r="BJ180" s="113"/>
      <c r="BK180" s="113"/>
      <c r="BL180" s="113"/>
      <c r="BM180" s="113"/>
      <c r="BN180" s="113"/>
      <c r="BO180" s="113"/>
      <c r="BP180" s="113"/>
      <c r="BQ180" s="113"/>
      <c r="BR180" s="113"/>
      <c r="BS180" s="113"/>
      <c r="BT180" s="113"/>
      <c r="BU180" s="113"/>
      <c r="BV180" s="113"/>
      <c r="BW180" s="113"/>
      <c r="BX180" s="113"/>
      <c r="BY180" s="113"/>
      <c r="BZ180" s="113"/>
      <c r="CA180" s="113"/>
      <c r="CB180" s="113"/>
    </row>
    <row r="181" spans="5:80" x14ac:dyDescent="0.25">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3"/>
      <c r="AY181" s="113"/>
      <c r="AZ181" s="113"/>
      <c r="BA181" s="113"/>
      <c r="BB181" s="113"/>
      <c r="BC181" s="113"/>
      <c r="BD181" s="113"/>
      <c r="BE181" s="113"/>
      <c r="BF181" s="113"/>
      <c r="BG181" s="113"/>
      <c r="BH181" s="113"/>
      <c r="BI181" s="113"/>
      <c r="BJ181" s="113"/>
      <c r="BK181" s="113"/>
      <c r="BL181" s="113"/>
      <c r="BM181" s="113"/>
      <c r="BN181" s="113"/>
      <c r="BO181" s="113"/>
      <c r="BP181" s="113"/>
      <c r="BQ181" s="113"/>
      <c r="BR181" s="113"/>
      <c r="BS181" s="113"/>
      <c r="BT181" s="113"/>
      <c r="BU181" s="113"/>
      <c r="BV181" s="113"/>
      <c r="BW181" s="113"/>
      <c r="BX181" s="113"/>
      <c r="BY181" s="113"/>
      <c r="BZ181" s="113"/>
      <c r="CA181" s="113"/>
      <c r="CB181" s="113"/>
    </row>
    <row r="182" spans="5:80" x14ac:dyDescent="0.25">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3"/>
      <c r="AY182" s="113"/>
      <c r="AZ182" s="113"/>
      <c r="BA182" s="113"/>
      <c r="BB182" s="113"/>
      <c r="BC182" s="113"/>
      <c r="BD182" s="113"/>
      <c r="BE182" s="113"/>
      <c r="BF182" s="113"/>
      <c r="BG182" s="113"/>
      <c r="BH182" s="113"/>
      <c r="BI182" s="113"/>
      <c r="BJ182" s="113"/>
      <c r="BK182" s="113"/>
      <c r="BL182" s="113"/>
      <c r="BM182" s="113"/>
      <c r="BN182" s="113"/>
      <c r="BO182" s="113"/>
      <c r="BP182" s="113"/>
      <c r="BQ182" s="113"/>
      <c r="BR182" s="113"/>
      <c r="BS182" s="113"/>
      <c r="BT182" s="113"/>
      <c r="BU182" s="113"/>
      <c r="BV182" s="113"/>
      <c r="BW182" s="113"/>
      <c r="BX182" s="113"/>
      <c r="BY182" s="113"/>
      <c r="BZ182" s="113"/>
      <c r="CA182" s="113"/>
      <c r="CB182" s="113"/>
    </row>
    <row r="183" spans="5:80" x14ac:dyDescent="0.25">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3"/>
      <c r="AY183" s="113"/>
      <c r="AZ183" s="113"/>
      <c r="BA183" s="113"/>
      <c r="BB183" s="113"/>
      <c r="BC183" s="113"/>
      <c r="BD183" s="113"/>
      <c r="BE183" s="113"/>
      <c r="BF183" s="113"/>
      <c r="BG183" s="113"/>
      <c r="BH183" s="113"/>
      <c r="BI183" s="113"/>
      <c r="BJ183" s="113"/>
      <c r="BK183" s="113"/>
      <c r="BL183" s="113"/>
      <c r="BM183" s="113"/>
      <c r="BN183" s="113"/>
      <c r="BO183" s="113"/>
      <c r="BP183" s="113"/>
      <c r="BQ183" s="113"/>
      <c r="BR183" s="113"/>
      <c r="BS183" s="113"/>
      <c r="BT183" s="113"/>
      <c r="BU183" s="113"/>
      <c r="BV183" s="113"/>
      <c r="BW183" s="113"/>
      <c r="BX183" s="113"/>
      <c r="BY183" s="113"/>
      <c r="BZ183" s="113"/>
      <c r="CA183" s="113"/>
      <c r="CB183" s="113"/>
    </row>
    <row r="184" spans="5:80" x14ac:dyDescent="0.25">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3"/>
      <c r="AY184" s="113"/>
      <c r="AZ184" s="113"/>
      <c r="BA184" s="113"/>
      <c r="BB184" s="113"/>
      <c r="BC184" s="113"/>
      <c r="BD184" s="113"/>
      <c r="BE184" s="113"/>
      <c r="BF184" s="113"/>
      <c r="BG184" s="113"/>
      <c r="BH184" s="113"/>
      <c r="BI184" s="113"/>
      <c r="BJ184" s="113"/>
      <c r="BK184" s="113"/>
      <c r="BL184" s="113"/>
      <c r="BM184" s="113"/>
      <c r="BN184" s="113"/>
      <c r="BO184" s="113"/>
      <c r="BP184" s="113"/>
      <c r="BQ184" s="113"/>
      <c r="BR184" s="113"/>
      <c r="BS184" s="113"/>
      <c r="BT184" s="113"/>
      <c r="BU184" s="113"/>
      <c r="BV184" s="113"/>
      <c r="BW184" s="113"/>
      <c r="BX184" s="113"/>
      <c r="BY184" s="113"/>
      <c r="BZ184" s="113"/>
      <c r="CA184" s="113"/>
      <c r="CB184" s="113"/>
    </row>
    <row r="185" spans="5:80" x14ac:dyDescent="0.25">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3"/>
      <c r="AY185" s="113"/>
      <c r="AZ185" s="113"/>
      <c r="BA185" s="113"/>
      <c r="BB185" s="113"/>
      <c r="BC185" s="113"/>
      <c r="BD185" s="113"/>
      <c r="BE185" s="113"/>
      <c r="BF185" s="113"/>
      <c r="BG185" s="113"/>
      <c r="BH185" s="113"/>
      <c r="BI185" s="113"/>
      <c r="BJ185" s="113"/>
      <c r="BK185" s="113"/>
      <c r="BL185" s="113"/>
      <c r="BM185" s="113"/>
      <c r="BN185" s="113"/>
      <c r="BO185" s="113"/>
      <c r="BP185" s="113"/>
      <c r="BQ185" s="113"/>
      <c r="BR185" s="113"/>
      <c r="BS185" s="113"/>
      <c r="BT185" s="113"/>
      <c r="BU185" s="113"/>
      <c r="BV185" s="113"/>
      <c r="BW185" s="113"/>
      <c r="BX185" s="113"/>
      <c r="BY185" s="113"/>
      <c r="BZ185" s="113"/>
      <c r="CA185" s="113"/>
      <c r="CB185" s="113"/>
    </row>
    <row r="186" spans="5:80" x14ac:dyDescent="0.25">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3"/>
      <c r="AY186" s="113"/>
      <c r="AZ186" s="113"/>
      <c r="BA186" s="113"/>
      <c r="BB186" s="113"/>
      <c r="BC186" s="113"/>
      <c r="BD186" s="113"/>
      <c r="BE186" s="113"/>
      <c r="BF186" s="113"/>
      <c r="BG186" s="113"/>
      <c r="BH186" s="113"/>
      <c r="BI186" s="113"/>
      <c r="BJ186" s="113"/>
      <c r="BK186" s="113"/>
      <c r="BL186" s="113"/>
      <c r="BM186" s="113"/>
      <c r="BN186" s="113"/>
      <c r="BO186" s="113"/>
      <c r="BP186" s="113"/>
      <c r="BQ186" s="113"/>
      <c r="BR186" s="113"/>
      <c r="BS186" s="113"/>
      <c r="BT186" s="113"/>
      <c r="BU186" s="113"/>
      <c r="BV186" s="113"/>
      <c r="BW186" s="113"/>
      <c r="BX186" s="113"/>
      <c r="BY186" s="113"/>
      <c r="BZ186" s="113"/>
      <c r="CA186" s="113"/>
      <c r="CB186" s="113"/>
    </row>
    <row r="187" spans="5:80" x14ac:dyDescent="0.25">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3"/>
      <c r="AY187" s="113"/>
      <c r="AZ187" s="113"/>
      <c r="BA187" s="113"/>
      <c r="BB187" s="113"/>
      <c r="BC187" s="113"/>
      <c r="BD187" s="113"/>
      <c r="BE187" s="113"/>
      <c r="BF187" s="113"/>
      <c r="BG187" s="113"/>
      <c r="BH187" s="113"/>
      <c r="BI187" s="113"/>
      <c r="BJ187" s="113"/>
      <c r="BK187" s="113"/>
      <c r="BL187" s="113"/>
      <c r="BM187" s="113"/>
      <c r="BN187" s="113"/>
      <c r="BO187" s="113"/>
      <c r="BP187" s="113"/>
      <c r="BQ187" s="113"/>
      <c r="BR187" s="113"/>
      <c r="BS187" s="113"/>
      <c r="BT187" s="113"/>
      <c r="BU187" s="113"/>
      <c r="BV187" s="113"/>
      <c r="BW187" s="113"/>
      <c r="BX187" s="113"/>
      <c r="BY187" s="113"/>
      <c r="BZ187" s="113"/>
      <c r="CA187" s="113"/>
      <c r="CB187" s="113"/>
    </row>
    <row r="188" spans="5:80" x14ac:dyDescent="0.25">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3"/>
      <c r="AY188" s="113"/>
      <c r="AZ188" s="113"/>
      <c r="BA188" s="113"/>
      <c r="BB188" s="113"/>
      <c r="BC188" s="113"/>
      <c r="BD188" s="113"/>
      <c r="BE188" s="113"/>
      <c r="BF188" s="113"/>
      <c r="BG188" s="113"/>
      <c r="BH188" s="113"/>
      <c r="BI188" s="113"/>
      <c r="BJ188" s="113"/>
      <c r="BK188" s="113"/>
      <c r="BL188" s="113"/>
      <c r="BM188" s="113"/>
      <c r="BN188" s="113"/>
      <c r="BO188" s="113"/>
      <c r="BP188" s="113"/>
      <c r="BQ188" s="113"/>
      <c r="BR188" s="113"/>
      <c r="BS188" s="113"/>
      <c r="BT188" s="113"/>
      <c r="BU188" s="113"/>
      <c r="BV188" s="113"/>
      <c r="BW188" s="113"/>
      <c r="BX188" s="113"/>
      <c r="BY188" s="113"/>
      <c r="BZ188" s="113"/>
      <c r="CA188" s="113"/>
      <c r="CB188" s="113"/>
    </row>
    <row r="189" spans="5:80" x14ac:dyDescent="0.25">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3"/>
      <c r="AY189" s="113"/>
      <c r="AZ189" s="113"/>
      <c r="BA189" s="113"/>
      <c r="BB189" s="113"/>
      <c r="BC189" s="113"/>
      <c r="BD189" s="113"/>
      <c r="BE189" s="113"/>
      <c r="BF189" s="113"/>
      <c r="BG189" s="113"/>
      <c r="BH189" s="113"/>
      <c r="BI189" s="113"/>
      <c r="BJ189" s="113"/>
      <c r="BK189" s="113"/>
      <c r="BL189" s="113"/>
      <c r="BM189" s="113"/>
      <c r="BN189" s="113"/>
      <c r="BO189" s="113"/>
      <c r="BP189" s="113"/>
      <c r="BQ189" s="113"/>
      <c r="BR189" s="113"/>
      <c r="BS189" s="113"/>
      <c r="BT189" s="113"/>
      <c r="BU189" s="113"/>
      <c r="BV189" s="113"/>
      <c r="BW189" s="113"/>
      <c r="BX189" s="113"/>
      <c r="BY189" s="113"/>
      <c r="BZ189" s="113"/>
      <c r="CA189" s="113"/>
      <c r="CB189" s="113"/>
    </row>
    <row r="190" spans="5:80" x14ac:dyDescent="0.25">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3"/>
      <c r="AY190" s="113"/>
      <c r="AZ190" s="113"/>
      <c r="BA190" s="113"/>
      <c r="BB190" s="113"/>
      <c r="BC190" s="113"/>
      <c r="BD190" s="113"/>
      <c r="BE190" s="113"/>
      <c r="BF190" s="113"/>
      <c r="BG190" s="113"/>
      <c r="BH190" s="113"/>
      <c r="BI190" s="113"/>
      <c r="BJ190" s="113"/>
      <c r="BK190" s="113"/>
      <c r="BL190" s="113"/>
      <c r="BM190" s="113"/>
      <c r="BN190" s="113"/>
      <c r="BO190" s="113"/>
      <c r="BP190" s="113"/>
      <c r="BQ190" s="113"/>
      <c r="BR190" s="113"/>
      <c r="BS190" s="113"/>
      <c r="BT190" s="113"/>
      <c r="BU190" s="113"/>
      <c r="BV190" s="113"/>
      <c r="BW190" s="113"/>
      <c r="BX190" s="113"/>
      <c r="BY190" s="113"/>
      <c r="BZ190" s="113"/>
      <c r="CA190" s="113"/>
      <c r="CB190" s="113"/>
    </row>
    <row r="191" spans="5:80" x14ac:dyDescent="0.25">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3"/>
      <c r="AY191" s="113"/>
      <c r="AZ191" s="113"/>
      <c r="BA191" s="113"/>
      <c r="BB191" s="113"/>
      <c r="BC191" s="113"/>
      <c r="BD191" s="113"/>
      <c r="BE191" s="113"/>
      <c r="BF191" s="113"/>
      <c r="BG191" s="113"/>
      <c r="BH191" s="113"/>
      <c r="BI191" s="113"/>
      <c r="BJ191" s="113"/>
      <c r="BK191" s="113"/>
      <c r="BL191" s="113"/>
      <c r="BM191" s="113"/>
      <c r="BN191" s="113"/>
      <c r="BO191" s="113"/>
      <c r="BP191" s="113"/>
      <c r="BQ191" s="113"/>
      <c r="BR191" s="113"/>
      <c r="BS191" s="113"/>
      <c r="BT191" s="113"/>
      <c r="BU191" s="113"/>
      <c r="BV191" s="113"/>
      <c r="BW191" s="113"/>
      <c r="BX191" s="113"/>
      <c r="BY191" s="113"/>
      <c r="BZ191" s="113"/>
      <c r="CA191" s="113"/>
      <c r="CB191" s="113"/>
    </row>
    <row r="192" spans="5:80" x14ac:dyDescent="0.25">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3"/>
      <c r="AY192" s="113"/>
      <c r="AZ192" s="113"/>
      <c r="BA192" s="113"/>
      <c r="BB192" s="113"/>
      <c r="BC192" s="113"/>
      <c r="BD192" s="113"/>
      <c r="BE192" s="113"/>
      <c r="BF192" s="113"/>
      <c r="BG192" s="113"/>
      <c r="BH192" s="113"/>
      <c r="BI192" s="113"/>
      <c r="BJ192" s="113"/>
      <c r="BK192" s="113"/>
      <c r="BL192" s="113"/>
      <c r="BM192" s="113"/>
      <c r="BN192" s="113"/>
      <c r="BO192" s="113"/>
      <c r="BP192" s="113"/>
      <c r="BQ192" s="113"/>
      <c r="BR192" s="113"/>
      <c r="BS192" s="113"/>
      <c r="BT192" s="113"/>
      <c r="BU192" s="113"/>
      <c r="BV192" s="113"/>
      <c r="BW192" s="113"/>
      <c r="BX192" s="113"/>
      <c r="BY192" s="113"/>
      <c r="BZ192" s="113"/>
      <c r="CA192" s="113"/>
      <c r="CB192" s="113"/>
    </row>
    <row r="193" spans="5:80" x14ac:dyDescent="0.25">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3"/>
      <c r="AY193" s="113"/>
      <c r="AZ193" s="113"/>
      <c r="BA193" s="113"/>
      <c r="BB193" s="113"/>
      <c r="BC193" s="113"/>
      <c r="BD193" s="113"/>
      <c r="BE193" s="113"/>
      <c r="BF193" s="113"/>
      <c r="BG193" s="113"/>
      <c r="BH193" s="113"/>
      <c r="BI193" s="113"/>
      <c r="BJ193" s="113"/>
      <c r="BK193" s="113"/>
      <c r="BL193" s="113"/>
      <c r="BM193" s="113"/>
      <c r="BN193" s="113"/>
      <c r="BO193" s="113"/>
      <c r="BP193" s="113"/>
      <c r="BQ193" s="113"/>
      <c r="BR193" s="113"/>
      <c r="BS193" s="113"/>
      <c r="BT193" s="113"/>
      <c r="BU193" s="113"/>
      <c r="BV193" s="113"/>
      <c r="BW193" s="113"/>
      <c r="BX193" s="113"/>
      <c r="BY193" s="113"/>
      <c r="BZ193" s="113"/>
      <c r="CA193" s="113"/>
      <c r="CB193" s="113"/>
    </row>
    <row r="194" spans="5:80" x14ac:dyDescent="0.25">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3"/>
      <c r="AY194" s="113"/>
      <c r="AZ194" s="113"/>
      <c r="BA194" s="113"/>
      <c r="BB194" s="113"/>
      <c r="BC194" s="113"/>
      <c r="BD194" s="113"/>
      <c r="BE194" s="113"/>
      <c r="BF194" s="113"/>
      <c r="BG194" s="113"/>
      <c r="BH194" s="113"/>
      <c r="BI194" s="113"/>
      <c r="BJ194" s="113"/>
      <c r="BK194" s="113"/>
      <c r="BL194" s="113"/>
      <c r="BM194" s="113"/>
      <c r="BN194" s="113"/>
      <c r="BO194" s="113"/>
      <c r="BP194" s="113"/>
      <c r="BQ194" s="113"/>
      <c r="BR194" s="113"/>
      <c r="BS194" s="113"/>
      <c r="BT194" s="113"/>
      <c r="BU194" s="113"/>
      <c r="BV194" s="113"/>
      <c r="BW194" s="113"/>
      <c r="BX194" s="113"/>
      <c r="BY194" s="113"/>
      <c r="BZ194" s="113"/>
      <c r="CA194" s="113"/>
      <c r="CB194" s="113"/>
    </row>
    <row r="195" spans="5:80" x14ac:dyDescent="0.25">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3"/>
      <c r="AY195" s="113"/>
      <c r="AZ195" s="113"/>
      <c r="BA195" s="113"/>
      <c r="BB195" s="113"/>
      <c r="BC195" s="113"/>
      <c r="BD195" s="113"/>
      <c r="BE195" s="113"/>
      <c r="BF195" s="113"/>
      <c r="BG195" s="113"/>
      <c r="BH195" s="113"/>
      <c r="BI195" s="113"/>
      <c r="BJ195" s="113"/>
      <c r="BK195" s="113"/>
      <c r="BL195" s="113"/>
      <c r="BM195" s="113"/>
      <c r="BN195" s="113"/>
      <c r="BO195" s="113"/>
      <c r="BP195" s="113"/>
      <c r="BQ195" s="113"/>
      <c r="BR195" s="113"/>
      <c r="BS195" s="113"/>
      <c r="BT195" s="113"/>
      <c r="BU195" s="113"/>
      <c r="BV195" s="113"/>
      <c r="BW195" s="113"/>
      <c r="BX195" s="113"/>
      <c r="BY195" s="113"/>
      <c r="BZ195" s="113"/>
      <c r="CA195" s="113"/>
      <c r="CB195" s="113"/>
    </row>
    <row r="196" spans="5:80" x14ac:dyDescent="0.25">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3"/>
      <c r="AY196" s="113"/>
      <c r="AZ196" s="113"/>
      <c r="BA196" s="113"/>
      <c r="BB196" s="113"/>
      <c r="BC196" s="113"/>
      <c r="BD196" s="113"/>
      <c r="BE196" s="113"/>
      <c r="BF196" s="113"/>
      <c r="BG196" s="113"/>
      <c r="BH196" s="113"/>
      <c r="BI196" s="113"/>
      <c r="BJ196" s="113"/>
      <c r="BK196" s="113"/>
      <c r="BL196" s="113"/>
      <c r="BM196" s="113"/>
      <c r="BN196" s="113"/>
      <c r="BO196" s="113"/>
      <c r="BP196" s="113"/>
      <c r="BQ196" s="113"/>
      <c r="BR196" s="113"/>
      <c r="BS196" s="113"/>
      <c r="BT196" s="113"/>
      <c r="BU196" s="113"/>
      <c r="BV196" s="113"/>
      <c r="BW196" s="113"/>
      <c r="BX196" s="113"/>
      <c r="BY196" s="113"/>
      <c r="BZ196" s="113"/>
      <c r="CA196" s="113"/>
      <c r="CB196" s="113"/>
    </row>
    <row r="197" spans="5:80" x14ac:dyDescent="0.25">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3"/>
      <c r="AY197" s="113"/>
      <c r="AZ197" s="113"/>
      <c r="BA197" s="113"/>
      <c r="BB197" s="113"/>
      <c r="BC197" s="113"/>
      <c r="BD197" s="113"/>
      <c r="BE197" s="113"/>
      <c r="BF197" s="113"/>
      <c r="BG197" s="113"/>
      <c r="BH197" s="113"/>
      <c r="BI197" s="113"/>
      <c r="BJ197" s="113"/>
      <c r="BK197" s="113"/>
      <c r="BL197" s="113"/>
      <c r="BM197" s="113"/>
      <c r="BN197" s="113"/>
      <c r="BO197" s="113"/>
      <c r="BP197" s="113"/>
      <c r="BQ197" s="113"/>
      <c r="BR197" s="113"/>
      <c r="BS197" s="113"/>
      <c r="BT197" s="113"/>
      <c r="BU197" s="113"/>
      <c r="BV197" s="113"/>
      <c r="BW197" s="113"/>
      <c r="BX197" s="113"/>
      <c r="BY197" s="113"/>
      <c r="BZ197" s="113"/>
      <c r="CA197" s="113"/>
      <c r="CB197" s="113"/>
    </row>
    <row r="198" spans="5:80" x14ac:dyDescent="0.25">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3"/>
      <c r="AY198" s="113"/>
      <c r="AZ198" s="113"/>
      <c r="BA198" s="113"/>
      <c r="BB198" s="113"/>
      <c r="BC198" s="113"/>
      <c r="BD198" s="113"/>
      <c r="BE198" s="113"/>
      <c r="BF198" s="113"/>
      <c r="BG198" s="113"/>
      <c r="BH198" s="113"/>
      <c r="BI198" s="113"/>
      <c r="BJ198" s="113"/>
      <c r="BK198" s="113"/>
      <c r="BL198" s="113"/>
      <c r="BM198" s="113"/>
      <c r="BN198" s="113"/>
      <c r="BO198" s="113"/>
      <c r="BP198" s="113"/>
      <c r="BQ198" s="113"/>
      <c r="BR198" s="113"/>
      <c r="BS198" s="113"/>
      <c r="BT198" s="113"/>
      <c r="BU198" s="113"/>
      <c r="BV198" s="113"/>
      <c r="BW198" s="113"/>
      <c r="BX198" s="113"/>
      <c r="BY198" s="113"/>
      <c r="BZ198" s="113"/>
      <c r="CA198" s="113"/>
      <c r="CB198" s="113"/>
    </row>
    <row r="199" spans="5:80" x14ac:dyDescent="0.25">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3"/>
      <c r="AY199" s="113"/>
      <c r="AZ199" s="113"/>
      <c r="BA199" s="113"/>
      <c r="BB199" s="113"/>
      <c r="BC199" s="113"/>
      <c r="BD199" s="113"/>
      <c r="BE199" s="113"/>
      <c r="BF199" s="113"/>
      <c r="BG199" s="113"/>
      <c r="BH199" s="113"/>
      <c r="BI199" s="113"/>
      <c r="BJ199" s="113"/>
      <c r="BK199" s="113"/>
      <c r="BL199" s="113"/>
      <c r="BM199" s="113"/>
      <c r="BN199" s="113"/>
      <c r="BO199" s="113"/>
      <c r="BP199" s="113"/>
      <c r="BQ199" s="113"/>
      <c r="BR199" s="113"/>
      <c r="BS199" s="113"/>
      <c r="BT199" s="113"/>
      <c r="BU199" s="113"/>
      <c r="BV199" s="113"/>
      <c r="BW199" s="113"/>
      <c r="BX199" s="113"/>
      <c r="BY199" s="113"/>
      <c r="BZ199" s="113"/>
      <c r="CA199" s="113"/>
      <c r="CB199" s="113"/>
    </row>
    <row r="200" spans="5:80" x14ac:dyDescent="0.25">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3"/>
      <c r="AY200" s="113"/>
      <c r="AZ200" s="113"/>
      <c r="BA200" s="113"/>
      <c r="BB200" s="113"/>
      <c r="BC200" s="113"/>
      <c r="BD200" s="113"/>
      <c r="BE200" s="113"/>
      <c r="BF200" s="113"/>
      <c r="BG200" s="113"/>
      <c r="BH200" s="113"/>
      <c r="BI200" s="113"/>
      <c r="BJ200" s="113"/>
      <c r="BK200" s="113"/>
      <c r="BL200" s="113"/>
      <c r="BM200" s="113"/>
      <c r="BN200" s="113"/>
      <c r="BO200" s="113"/>
      <c r="BP200" s="113"/>
      <c r="BQ200" s="113"/>
      <c r="BR200" s="113"/>
      <c r="BS200" s="113"/>
      <c r="BT200" s="113"/>
      <c r="BU200" s="113"/>
      <c r="BV200" s="113"/>
      <c r="BW200" s="113"/>
      <c r="BX200" s="113"/>
      <c r="BY200" s="113"/>
      <c r="BZ200" s="113"/>
      <c r="CA200" s="113"/>
      <c r="CB200" s="113"/>
    </row>
    <row r="201" spans="5:80" x14ac:dyDescent="0.25">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3"/>
      <c r="AY201" s="113"/>
      <c r="AZ201" s="113"/>
      <c r="BA201" s="113"/>
      <c r="BB201" s="113"/>
      <c r="BC201" s="113"/>
      <c r="BD201" s="113"/>
      <c r="BE201" s="113"/>
      <c r="BF201" s="113"/>
      <c r="BG201" s="113"/>
      <c r="BH201" s="113"/>
      <c r="BI201" s="113"/>
      <c r="BJ201" s="113"/>
      <c r="BK201" s="113"/>
      <c r="BL201" s="113"/>
      <c r="BM201" s="113"/>
      <c r="BN201" s="113"/>
      <c r="BO201" s="113"/>
      <c r="BP201" s="113"/>
      <c r="BQ201" s="113"/>
      <c r="BR201" s="113"/>
      <c r="BS201" s="113"/>
      <c r="BT201" s="113"/>
      <c r="BU201" s="113"/>
      <c r="BV201" s="113"/>
      <c r="BW201" s="113"/>
      <c r="BX201" s="113"/>
      <c r="BY201" s="113"/>
      <c r="BZ201" s="113"/>
      <c r="CA201" s="113"/>
      <c r="CB201" s="113"/>
    </row>
    <row r="202" spans="5:80" x14ac:dyDescent="0.25">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3"/>
      <c r="AY202" s="113"/>
      <c r="AZ202" s="113"/>
      <c r="BA202" s="113"/>
      <c r="BB202" s="113"/>
      <c r="BC202" s="113"/>
      <c r="BD202" s="113"/>
      <c r="BE202" s="113"/>
      <c r="BF202" s="113"/>
      <c r="BG202" s="113"/>
      <c r="BH202" s="113"/>
      <c r="BI202" s="113"/>
      <c r="BJ202" s="113"/>
      <c r="BK202" s="113"/>
      <c r="BL202" s="113"/>
      <c r="BM202" s="113"/>
      <c r="BN202" s="113"/>
      <c r="BO202" s="113"/>
      <c r="BP202" s="113"/>
      <c r="BQ202" s="113"/>
      <c r="BR202" s="113"/>
      <c r="BS202" s="113"/>
      <c r="BT202" s="113"/>
      <c r="BU202" s="113"/>
      <c r="BV202" s="113"/>
      <c r="BW202" s="113"/>
      <c r="BX202" s="113"/>
      <c r="BY202" s="113"/>
      <c r="BZ202" s="113"/>
      <c r="CA202" s="113"/>
      <c r="CB202" s="113"/>
    </row>
    <row r="203" spans="5:80" x14ac:dyDescent="0.25">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3"/>
      <c r="AY203" s="113"/>
      <c r="AZ203" s="113"/>
      <c r="BA203" s="113"/>
      <c r="BB203" s="113"/>
      <c r="BC203" s="113"/>
      <c r="BD203" s="113"/>
      <c r="BE203" s="113"/>
      <c r="BF203" s="113"/>
      <c r="BG203" s="113"/>
      <c r="BH203" s="113"/>
      <c r="BI203" s="113"/>
      <c r="BJ203" s="113"/>
      <c r="BK203" s="113"/>
      <c r="BL203" s="113"/>
      <c r="BM203" s="113"/>
      <c r="BN203" s="113"/>
      <c r="BO203" s="113"/>
      <c r="BP203" s="113"/>
      <c r="BQ203" s="113"/>
      <c r="BR203" s="113"/>
      <c r="BS203" s="113"/>
      <c r="BT203" s="113"/>
      <c r="BU203" s="113"/>
      <c r="BV203" s="113"/>
      <c r="BW203" s="113"/>
      <c r="BX203" s="113"/>
      <c r="BY203" s="113"/>
      <c r="BZ203" s="113"/>
      <c r="CA203" s="113"/>
      <c r="CB203" s="113"/>
    </row>
    <row r="204" spans="5:80" x14ac:dyDescent="0.25">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3"/>
      <c r="AY204" s="113"/>
      <c r="AZ204" s="113"/>
      <c r="BA204" s="113"/>
      <c r="BB204" s="113"/>
      <c r="BC204" s="113"/>
      <c r="BD204" s="113"/>
      <c r="BE204" s="113"/>
      <c r="BF204" s="113"/>
      <c r="BG204" s="113"/>
      <c r="BH204" s="113"/>
      <c r="BI204" s="113"/>
      <c r="BJ204" s="113"/>
      <c r="BK204" s="113"/>
      <c r="BL204" s="113"/>
      <c r="BM204" s="113"/>
      <c r="BN204" s="113"/>
      <c r="BO204" s="113"/>
      <c r="BP204" s="113"/>
      <c r="BQ204" s="113"/>
      <c r="BR204" s="113"/>
      <c r="BS204" s="113"/>
      <c r="BT204" s="113"/>
      <c r="BU204" s="113"/>
      <c r="BV204" s="113"/>
      <c r="BW204" s="113"/>
      <c r="BX204" s="113"/>
      <c r="BY204" s="113"/>
      <c r="BZ204" s="113"/>
      <c r="CA204" s="113"/>
      <c r="CB204" s="113"/>
    </row>
    <row r="205" spans="5:80" x14ac:dyDescent="0.25">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3"/>
      <c r="AY205" s="113"/>
      <c r="AZ205" s="113"/>
      <c r="BA205" s="113"/>
      <c r="BB205" s="113"/>
      <c r="BC205" s="113"/>
      <c r="BD205" s="113"/>
      <c r="BE205" s="113"/>
      <c r="BF205" s="113"/>
      <c r="BG205" s="113"/>
      <c r="BH205" s="113"/>
      <c r="BI205" s="113"/>
      <c r="BJ205" s="113"/>
      <c r="BK205" s="113"/>
      <c r="BL205" s="113"/>
      <c r="BM205" s="113"/>
      <c r="BN205" s="113"/>
      <c r="BO205" s="113"/>
      <c r="BP205" s="113"/>
      <c r="BQ205" s="113"/>
      <c r="BR205" s="113"/>
      <c r="BS205" s="113"/>
      <c r="BT205" s="113"/>
      <c r="BU205" s="113"/>
      <c r="BV205" s="113"/>
      <c r="BW205" s="113"/>
      <c r="BX205" s="113"/>
      <c r="BY205" s="113"/>
      <c r="BZ205" s="113"/>
      <c r="CA205" s="113"/>
      <c r="CB205" s="113"/>
    </row>
    <row r="206" spans="5:80" x14ac:dyDescent="0.25">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3"/>
      <c r="AY206" s="113"/>
      <c r="AZ206" s="113"/>
      <c r="BA206" s="113"/>
      <c r="BB206" s="113"/>
      <c r="BC206" s="113"/>
      <c r="BD206" s="113"/>
      <c r="BE206" s="113"/>
      <c r="BF206" s="113"/>
      <c r="BG206" s="113"/>
      <c r="BH206" s="113"/>
      <c r="BI206" s="113"/>
      <c r="BJ206" s="113"/>
      <c r="BK206" s="113"/>
      <c r="BL206" s="113"/>
      <c r="BM206" s="113"/>
      <c r="BN206" s="113"/>
      <c r="BO206" s="113"/>
      <c r="BP206" s="113"/>
      <c r="BQ206" s="113"/>
      <c r="BR206" s="113"/>
      <c r="BS206" s="113"/>
      <c r="BT206" s="113"/>
      <c r="BU206" s="113"/>
      <c r="BV206" s="113"/>
      <c r="BW206" s="113"/>
      <c r="BX206" s="113"/>
      <c r="BY206" s="113"/>
      <c r="BZ206" s="113"/>
      <c r="CA206" s="113"/>
      <c r="CB206" s="113"/>
    </row>
    <row r="207" spans="5:80" x14ac:dyDescent="0.25">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3"/>
      <c r="AY207" s="113"/>
      <c r="AZ207" s="113"/>
      <c r="BA207" s="113"/>
      <c r="BB207" s="113"/>
      <c r="BC207" s="113"/>
      <c r="BD207" s="113"/>
      <c r="BE207" s="113"/>
      <c r="BF207" s="113"/>
      <c r="BG207" s="113"/>
      <c r="BH207" s="113"/>
      <c r="BI207" s="113"/>
      <c r="BJ207" s="113"/>
      <c r="BK207" s="113"/>
      <c r="BL207" s="113"/>
      <c r="BM207" s="113"/>
      <c r="BN207" s="113"/>
      <c r="BO207" s="113"/>
      <c r="BP207" s="113"/>
      <c r="BQ207" s="113"/>
      <c r="BR207" s="113"/>
      <c r="BS207" s="113"/>
      <c r="BT207" s="113"/>
      <c r="BU207" s="113"/>
      <c r="BV207" s="113"/>
      <c r="BW207" s="113"/>
      <c r="BX207" s="113"/>
      <c r="BY207" s="113"/>
      <c r="BZ207" s="113"/>
      <c r="CA207" s="113"/>
      <c r="CB207" s="113"/>
    </row>
    <row r="208" spans="5:80" x14ac:dyDescent="0.25">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c r="AX208" s="113"/>
      <c r="AY208" s="113"/>
      <c r="AZ208" s="113"/>
      <c r="BA208" s="113"/>
      <c r="BB208" s="113"/>
      <c r="BC208" s="113"/>
      <c r="BD208" s="113"/>
      <c r="BE208" s="113"/>
      <c r="BF208" s="113"/>
      <c r="BG208" s="113"/>
      <c r="BH208" s="113"/>
      <c r="BI208" s="113"/>
      <c r="BJ208" s="113"/>
      <c r="BK208" s="113"/>
      <c r="BL208" s="113"/>
      <c r="BM208" s="113"/>
      <c r="BN208" s="113"/>
      <c r="BO208" s="113"/>
      <c r="BP208" s="113"/>
      <c r="BQ208" s="113"/>
      <c r="BR208" s="113"/>
      <c r="BS208" s="113"/>
      <c r="BT208" s="113"/>
      <c r="BU208" s="113"/>
      <c r="BV208" s="113"/>
      <c r="BW208" s="113"/>
      <c r="BX208" s="113"/>
      <c r="BY208" s="113"/>
      <c r="BZ208" s="113"/>
      <c r="CA208" s="113"/>
      <c r="CB208" s="113"/>
    </row>
    <row r="209" spans="5:80" x14ac:dyDescent="0.25">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3"/>
      <c r="AY209" s="113"/>
      <c r="AZ209" s="113"/>
      <c r="BA209" s="113"/>
      <c r="BB209" s="113"/>
      <c r="BC209" s="113"/>
      <c r="BD209" s="113"/>
      <c r="BE209" s="113"/>
      <c r="BF209" s="113"/>
      <c r="BG209" s="113"/>
      <c r="BH209" s="113"/>
      <c r="BI209" s="113"/>
      <c r="BJ209" s="113"/>
      <c r="BK209" s="113"/>
      <c r="BL209" s="113"/>
      <c r="BM209" s="113"/>
      <c r="BN209" s="113"/>
      <c r="BO209" s="113"/>
      <c r="BP209" s="113"/>
      <c r="BQ209" s="113"/>
      <c r="BR209" s="113"/>
      <c r="BS209" s="113"/>
      <c r="BT209" s="113"/>
      <c r="BU209" s="113"/>
      <c r="BV209" s="113"/>
      <c r="BW209" s="113"/>
      <c r="BX209" s="113"/>
      <c r="BY209" s="113"/>
      <c r="BZ209" s="113"/>
      <c r="CA209" s="113"/>
      <c r="CB209" s="113"/>
    </row>
    <row r="210" spans="5:80" x14ac:dyDescent="0.25">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3"/>
      <c r="AY210" s="113"/>
      <c r="AZ210" s="113"/>
      <c r="BA210" s="113"/>
      <c r="BB210" s="113"/>
      <c r="BC210" s="113"/>
      <c r="BD210" s="113"/>
      <c r="BE210" s="113"/>
      <c r="BF210" s="113"/>
      <c r="BG210" s="113"/>
      <c r="BH210" s="113"/>
      <c r="BI210" s="113"/>
      <c r="BJ210" s="113"/>
      <c r="BK210" s="113"/>
      <c r="BL210" s="113"/>
      <c r="BM210" s="113"/>
      <c r="BN210" s="113"/>
      <c r="BO210" s="113"/>
      <c r="BP210" s="113"/>
      <c r="BQ210" s="113"/>
      <c r="BR210" s="113"/>
      <c r="BS210" s="113"/>
      <c r="BT210" s="113"/>
      <c r="BU210" s="113"/>
      <c r="BV210" s="113"/>
      <c r="BW210" s="113"/>
      <c r="BX210" s="113"/>
      <c r="BY210" s="113"/>
      <c r="BZ210" s="113"/>
      <c r="CA210" s="113"/>
      <c r="CB210" s="113"/>
    </row>
    <row r="211" spans="5:80" x14ac:dyDescent="0.25">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c r="AX211" s="113"/>
      <c r="AY211" s="113"/>
      <c r="AZ211" s="113"/>
      <c r="BA211" s="113"/>
      <c r="BB211" s="113"/>
      <c r="BC211" s="113"/>
      <c r="BD211" s="113"/>
      <c r="BE211" s="113"/>
      <c r="BF211" s="113"/>
      <c r="BG211" s="113"/>
      <c r="BH211" s="113"/>
      <c r="BI211" s="113"/>
      <c r="BJ211" s="113"/>
      <c r="BK211" s="113"/>
      <c r="BL211" s="113"/>
      <c r="BM211" s="113"/>
      <c r="BN211" s="113"/>
      <c r="BO211" s="113"/>
      <c r="BP211" s="113"/>
      <c r="BQ211" s="113"/>
      <c r="BR211" s="113"/>
      <c r="BS211" s="113"/>
      <c r="BT211" s="113"/>
      <c r="BU211" s="113"/>
      <c r="BV211" s="113"/>
      <c r="BW211" s="113"/>
      <c r="BX211" s="113"/>
      <c r="BY211" s="113"/>
      <c r="BZ211" s="113"/>
      <c r="CA211" s="113"/>
      <c r="CB211" s="113"/>
    </row>
    <row r="212" spans="5:80" x14ac:dyDescent="0.25">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3"/>
      <c r="AY212" s="113"/>
      <c r="AZ212" s="113"/>
      <c r="BA212" s="113"/>
      <c r="BB212" s="113"/>
      <c r="BC212" s="113"/>
      <c r="BD212" s="113"/>
      <c r="BE212" s="113"/>
      <c r="BF212" s="113"/>
      <c r="BG212" s="113"/>
      <c r="BH212" s="113"/>
      <c r="BI212" s="113"/>
      <c r="BJ212" s="113"/>
      <c r="BK212" s="113"/>
      <c r="BL212" s="113"/>
      <c r="BM212" s="113"/>
      <c r="BN212" s="113"/>
      <c r="BO212" s="113"/>
      <c r="BP212" s="113"/>
      <c r="BQ212" s="113"/>
      <c r="BR212" s="113"/>
      <c r="BS212" s="113"/>
      <c r="BT212" s="113"/>
      <c r="BU212" s="113"/>
      <c r="BV212" s="113"/>
      <c r="BW212" s="113"/>
      <c r="BX212" s="113"/>
      <c r="BY212" s="113"/>
      <c r="BZ212" s="113"/>
      <c r="CA212" s="113"/>
      <c r="CB212" s="113"/>
    </row>
    <row r="213" spans="5:80" x14ac:dyDescent="0.25">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c r="AX213" s="113"/>
      <c r="AY213" s="113"/>
      <c r="AZ213" s="113"/>
      <c r="BA213" s="113"/>
      <c r="BB213" s="113"/>
      <c r="BC213" s="113"/>
      <c r="BD213" s="113"/>
      <c r="BE213" s="113"/>
      <c r="BF213" s="113"/>
      <c r="BG213" s="113"/>
      <c r="BH213" s="113"/>
      <c r="BI213" s="113"/>
      <c r="BJ213" s="113"/>
      <c r="BK213" s="113"/>
      <c r="BL213" s="113"/>
      <c r="BM213" s="113"/>
      <c r="BN213" s="113"/>
      <c r="BO213" s="113"/>
      <c r="BP213" s="113"/>
      <c r="BQ213" s="113"/>
      <c r="BR213" s="113"/>
      <c r="BS213" s="113"/>
      <c r="BT213" s="113"/>
      <c r="BU213" s="113"/>
      <c r="BV213" s="113"/>
      <c r="BW213" s="113"/>
      <c r="BX213" s="113"/>
      <c r="BY213" s="113"/>
      <c r="BZ213" s="113"/>
      <c r="CA213" s="113"/>
      <c r="CB213" s="113"/>
    </row>
    <row r="214" spans="5:80" x14ac:dyDescent="0.25">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c r="AX214" s="113"/>
      <c r="AY214" s="113"/>
      <c r="AZ214" s="113"/>
      <c r="BA214" s="113"/>
      <c r="BB214" s="113"/>
      <c r="BC214" s="113"/>
      <c r="BD214" s="113"/>
      <c r="BE214" s="113"/>
      <c r="BF214" s="113"/>
      <c r="BG214" s="113"/>
      <c r="BH214" s="113"/>
      <c r="BI214" s="113"/>
      <c r="BJ214" s="113"/>
      <c r="BK214" s="113"/>
      <c r="BL214" s="113"/>
      <c r="BM214" s="113"/>
      <c r="BN214" s="113"/>
      <c r="BO214" s="113"/>
      <c r="BP214" s="113"/>
      <c r="BQ214" s="113"/>
      <c r="BR214" s="113"/>
      <c r="BS214" s="113"/>
      <c r="BT214" s="113"/>
      <c r="BU214" s="113"/>
      <c r="BV214" s="113"/>
      <c r="BW214" s="113"/>
      <c r="BX214" s="113"/>
      <c r="BY214" s="113"/>
      <c r="BZ214" s="113"/>
      <c r="CA214" s="113"/>
      <c r="CB214" s="113"/>
    </row>
    <row r="215" spans="5:80" x14ac:dyDescent="0.25">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c r="AX215" s="113"/>
      <c r="AY215" s="113"/>
      <c r="AZ215" s="113"/>
      <c r="BA215" s="113"/>
      <c r="BB215" s="113"/>
      <c r="BC215" s="113"/>
      <c r="BD215" s="113"/>
      <c r="BE215" s="113"/>
      <c r="BF215" s="113"/>
      <c r="BG215" s="113"/>
      <c r="BH215" s="113"/>
      <c r="BI215" s="113"/>
      <c r="BJ215" s="113"/>
      <c r="BK215" s="113"/>
      <c r="BL215" s="113"/>
      <c r="BM215" s="113"/>
      <c r="BN215" s="113"/>
      <c r="BO215" s="113"/>
      <c r="BP215" s="113"/>
      <c r="BQ215" s="113"/>
      <c r="BR215" s="113"/>
      <c r="BS215" s="113"/>
      <c r="BT215" s="113"/>
      <c r="BU215" s="113"/>
      <c r="BV215" s="113"/>
      <c r="BW215" s="113"/>
      <c r="BX215" s="113"/>
      <c r="BY215" s="113"/>
      <c r="BZ215" s="113"/>
      <c r="CA215" s="113"/>
      <c r="CB215" s="113"/>
    </row>
    <row r="216" spans="5:80" x14ac:dyDescent="0.25">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c r="AX216" s="113"/>
      <c r="AY216" s="113"/>
      <c r="AZ216" s="113"/>
      <c r="BA216" s="113"/>
      <c r="BB216" s="113"/>
      <c r="BC216" s="113"/>
      <c r="BD216" s="113"/>
      <c r="BE216" s="113"/>
      <c r="BF216" s="113"/>
      <c r="BG216" s="113"/>
      <c r="BH216" s="113"/>
      <c r="BI216" s="113"/>
      <c r="BJ216" s="113"/>
      <c r="BK216" s="113"/>
      <c r="BL216" s="113"/>
      <c r="BM216" s="113"/>
      <c r="BN216" s="113"/>
      <c r="BO216" s="113"/>
      <c r="BP216" s="113"/>
      <c r="BQ216" s="113"/>
      <c r="BR216" s="113"/>
      <c r="BS216" s="113"/>
      <c r="BT216" s="113"/>
      <c r="BU216" s="113"/>
      <c r="BV216" s="113"/>
      <c r="BW216" s="113"/>
      <c r="BX216" s="113"/>
      <c r="BY216" s="113"/>
      <c r="BZ216" s="113"/>
      <c r="CA216" s="113"/>
      <c r="CB216" s="113"/>
    </row>
    <row r="217" spans="5:80" x14ac:dyDescent="0.25">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3"/>
      <c r="AY217" s="113"/>
      <c r="AZ217" s="113"/>
      <c r="BA217" s="113"/>
      <c r="BB217" s="113"/>
      <c r="BC217" s="113"/>
      <c r="BD217" s="113"/>
      <c r="BE217" s="113"/>
      <c r="BF217" s="113"/>
      <c r="BG217" s="113"/>
      <c r="BH217" s="113"/>
      <c r="BI217" s="113"/>
      <c r="BJ217" s="113"/>
      <c r="BK217" s="113"/>
      <c r="BL217" s="113"/>
      <c r="BM217" s="113"/>
      <c r="BN217" s="113"/>
      <c r="BO217" s="113"/>
      <c r="BP217" s="113"/>
      <c r="BQ217" s="113"/>
      <c r="BR217" s="113"/>
      <c r="BS217" s="113"/>
      <c r="BT217" s="113"/>
      <c r="BU217" s="113"/>
      <c r="BV217" s="113"/>
      <c r="BW217" s="113"/>
      <c r="BX217" s="113"/>
      <c r="BY217" s="113"/>
      <c r="BZ217" s="113"/>
      <c r="CA217" s="113"/>
      <c r="CB217" s="113"/>
    </row>
    <row r="218" spans="5:80" x14ac:dyDescent="0.25">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c r="AX218" s="113"/>
      <c r="AY218" s="113"/>
      <c r="AZ218" s="113"/>
      <c r="BA218" s="113"/>
      <c r="BB218" s="113"/>
      <c r="BC218" s="113"/>
      <c r="BD218" s="113"/>
      <c r="BE218" s="113"/>
      <c r="BF218" s="113"/>
      <c r="BG218" s="113"/>
      <c r="BH218" s="113"/>
      <c r="BI218" s="113"/>
      <c r="BJ218" s="113"/>
      <c r="BK218" s="113"/>
      <c r="BL218" s="113"/>
      <c r="BM218" s="113"/>
      <c r="BN218" s="113"/>
      <c r="BO218" s="113"/>
      <c r="BP218" s="113"/>
      <c r="BQ218" s="113"/>
      <c r="BR218" s="113"/>
      <c r="BS218" s="113"/>
      <c r="BT218" s="113"/>
      <c r="BU218" s="113"/>
      <c r="BV218" s="113"/>
      <c r="BW218" s="113"/>
      <c r="BX218" s="113"/>
      <c r="BY218" s="113"/>
      <c r="BZ218" s="113"/>
      <c r="CA218" s="113"/>
      <c r="CB218" s="113"/>
    </row>
    <row r="219" spans="5:80" x14ac:dyDescent="0.25">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c r="AX219" s="113"/>
      <c r="AY219" s="113"/>
      <c r="AZ219" s="113"/>
      <c r="BA219" s="113"/>
      <c r="BB219" s="113"/>
      <c r="BC219" s="113"/>
      <c r="BD219" s="113"/>
      <c r="BE219" s="113"/>
      <c r="BF219" s="113"/>
      <c r="BG219" s="113"/>
      <c r="BH219" s="113"/>
      <c r="BI219" s="113"/>
      <c r="BJ219" s="113"/>
      <c r="BK219" s="113"/>
      <c r="BL219" s="113"/>
      <c r="BM219" s="113"/>
      <c r="BN219" s="113"/>
      <c r="BO219" s="113"/>
      <c r="BP219" s="113"/>
      <c r="BQ219" s="113"/>
      <c r="BR219" s="113"/>
      <c r="BS219" s="113"/>
      <c r="BT219" s="113"/>
      <c r="BU219" s="113"/>
      <c r="BV219" s="113"/>
      <c r="BW219" s="113"/>
      <c r="BX219" s="113"/>
      <c r="BY219" s="113"/>
      <c r="BZ219" s="113"/>
      <c r="CA219" s="113"/>
      <c r="CB219" s="113"/>
    </row>
    <row r="220" spans="5:80" x14ac:dyDescent="0.25">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c r="AX220" s="113"/>
      <c r="AY220" s="113"/>
      <c r="AZ220" s="113"/>
      <c r="BA220" s="113"/>
      <c r="BB220" s="113"/>
      <c r="BC220" s="113"/>
      <c r="BD220" s="113"/>
      <c r="BE220" s="113"/>
      <c r="BF220" s="113"/>
      <c r="BG220" s="113"/>
      <c r="BH220" s="113"/>
      <c r="BI220" s="113"/>
      <c r="BJ220" s="113"/>
      <c r="BK220" s="113"/>
      <c r="BL220" s="113"/>
      <c r="BM220" s="113"/>
      <c r="BN220" s="113"/>
      <c r="BO220" s="113"/>
      <c r="BP220" s="113"/>
      <c r="BQ220" s="113"/>
      <c r="BR220" s="113"/>
      <c r="BS220" s="113"/>
      <c r="BT220" s="113"/>
      <c r="BU220" s="113"/>
      <c r="BV220" s="113"/>
      <c r="BW220" s="113"/>
      <c r="BX220" s="113"/>
      <c r="BY220" s="113"/>
      <c r="BZ220" s="113"/>
      <c r="CA220" s="113"/>
      <c r="CB220" s="113"/>
    </row>
    <row r="221" spans="5:80" x14ac:dyDescent="0.25">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c r="AX221" s="113"/>
      <c r="AY221" s="113"/>
      <c r="AZ221" s="113"/>
      <c r="BA221" s="113"/>
      <c r="BB221" s="113"/>
      <c r="BC221" s="113"/>
      <c r="BD221" s="113"/>
      <c r="BE221" s="113"/>
      <c r="BF221" s="113"/>
      <c r="BG221" s="113"/>
      <c r="BH221" s="113"/>
      <c r="BI221" s="113"/>
      <c r="BJ221" s="113"/>
      <c r="BK221" s="113"/>
      <c r="BL221" s="113"/>
      <c r="BM221" s="113"/>
      <c r="BN221" s="113"/>
      <c r="BO221" s="113"/>
      <c r="BP221" s="113"/>
      <c r="BQ221" s="113"/>
      <c r="BR221" s="113"/>
      <c r="BS221" s="113"/>
      <c r="BT221" s="113"/>
      <c r="BU221" s="113"/>
      <c r="BV221" s="113"/>
      <c r="BW221" s="113"/>
      <c r="BX221" s="113"/>
      <c r="BY221" s="113"/>
      <c r="BZ221" s="113"/>
      <c r="CA221" s="113"/>
      <c r="CB221" s="113"/>
    </row>
    <row r="222" spans="5:80" x14ac:dyDescent="0.25">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c r="AX222" s="113"/>
      <c r="AY222" s="113"/>
      <c r="AZ222" s="113"/>
      <c r="BA222" s="113"/>
      <c r="BB222" s="113"/>
      <c r="BC222" s="113"/>
      <c r="BD222" s="113"/>
      <c r="BE222" s="113"/>
      <c r="BF222" s="113"/>
      <c r="BG222" s="113"/>
      <c r="BH222" s="113"/>
      <c r="BI222" s="113"/>
      <c r="BJ222" s="113"/>
      <c r="BK222" s="113"/>
      <c r="BL222" s="113"/>
      <c r="BM222" s="113"/>
      <c r="BN222" s="113"/>
      <c r="BO222" s="113"/>
      <c r="BP222" s="113"/>
      <c r="BQ222" s="113"/>
      <c r="BR222" s="113"/>
      <c r="BS222" s="113"/>
      <c r="BT222" s="113"/>
      <c r="BU222" s="113"/>
      <c r="BV222" s="113"/>
      <c r="BW222" s="113"/>
      <c r="BX222" s="113"/>
      <c r="BY222" s="113"/>
      <c r="BZ222" s="113"/>
      <c r="CA222" s="113"/>
      <c r="CB222" s="113"/>
    </row>
    <row r="223" spans="5:80" x14ac:dyDescent="0.25">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c r="AX223" s="113"/>
      <c r="AY223" s="113"/>
      <c r="AZ223" s="113"/>
      <c r="BA223" s="113"/>
      <c r="BB223" s="113"/>
      <c r="BC223" s="113"/>
      <c r="BD223" s="113"/>
      <c r="BE223" s="113"/>
      <c r="BF223" s="113"/>
      <c r="BG223" s="113"/>
      <c r="BH223" s="113"/>
      <c r="BI223" s="113"/>
      <c r="BJ223" s="113"/>
      <c r="BK223" s="113"/>
      <c r="BL223" s="113"/>
      <c r="BM223" s="113"/>
      <c r="BN223" s="113"/>
      <c r="BO223" s="113"/>
      <c r="BP223" s="113"/>
      <c r="BQ223" s="113"/>
      <c r="BR223" s="113"/>
      <c r="BS223" s="113"/>
      <c r="BT223" s="113"/>
      <c r="BU223" s="113"/>
      <c r="BV223" s="113"/>
      <c r="BW223" s="113"/>
      <c r="BX223" s="113"/>
      <c r="BY223" s="113"/>
      <c r="BZ223" s="113"/>
      <c r="CA223" s="113"/>
      <c r="CB223" s="113"/>
    </row>
    <row r="224" spans="5:80" x14ac:dyDescent="0.25">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c r="AX224" s="113"/>
      <c r="AY224" s="113"/>
      <c r="AZ224" s="113"/>
      <c r="BA224" s="113"/>
      <c r="BB224" s="113"/>
      <c r="BC224" s="113"/>
      <c r="BD224" s="113"/>
      <c r="BE224" s="113"/>
      <c r="BF224" s="113"/>
      <c r="BG224" s="113"/>
      <c r="BH224" s="113"/>
      <c r="BI224" s="113"/>
      <c r="BJ224" s="113"/>
      <c r="BK224" s="113"/>
      <c r="BL224" s="113"/>
      <c r="BM224" s="113"/>
      <c r="BN224" s="113"/>
      <c r="BO224" s="113"/>
      <c r="BP224" s="113"/>
      <c r="BQ224" s="113"/>
      <c r="BR224" s="113"/>
      <c r="BS224" s="113"/>
      <c r="BT224" s="113"/>
      <c r="BU224" s="113"/>
      <c r="BV224" s="113"/>
      <c r="BW224" s="113"/>
      <c r="BX224" s="113"/>
      <c r="BY224" s="113"/>
      <c r="BZ224" s="113"/>
      <c r="CA224" s="113"/>
      <c r="CB224" s="113"/>
    </row>
    <row r="225" spans="5:80" x14ac:dyDescent="0.25">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3"/>
      <c r="AY225" s="113"/>
      <c r="AZ225" s="113"/>
      <c r="BA225" s="113"/>
      <c r="BB225" s="113"/>
      <c r="BC225" s="113"/>
      <c r="BD225" s="113"/>
      <c r="BE225" s="113"/>
      <c r="BF225" s="113"/>
      <c r="BG225" s="113"/>
      <c r="BH225" s="113"/>
      <c r="BI225" s="113"/>
      <c r="BJ225" s="113"/>
      <c r="BK225" s="113"/>
      <c r="BL225" s="113"/>
      <c r="BM225" s="113"/>
      <c r="BN225" s="113"/>
      <c r="BO225" s="113"/>
      <c r="BP225" s="113"/>
      <c r="BQ225" s="113"/>
      <c r="BR225" s="113"/>
      <c r="BS225" s="113"/>
      <c r="BT225" s="113"/>
      <c r="BU225" s="113"/>
      <c r="BV225" s="113"/>
      <c r="BW225" s="113"/>
      <c r="BX225" s="113"/>
      <c r="BY225" s="113"/>
      <c r="BZ225" s="113"/>
      <c r="CA225" s="113"/>
      <c r="CB225" s="113"/>
    </row>
    <row r="226" spans="5:80" x14ac:dyDescent="0.25">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3"/>
      <c r="AY226" s="113"/>
      <c r="AZ226" s="113"/>
      <c r="BA226" s="113"/>
      <c r="BB226" s="113"/>
      <c r="BC226" s="113"/>
      <c r="BD226" s="113"/>
      <c r="BE226" s="113"/>
      <c r="BF226" s="113"/>
      <c r="BG226" s="113"/>
      <c r="BH226" s="113"/>
      <c r="BI226" s="113"/>
      <c r="BJ226" s="113"/>
      <c r="BK226" s="113"/>
      <c r="BL226" s="113"/>
      <c r="BM226" s="113"/>
      <c r="BN226" s="113"/>
      <c r="BO226" s="113"/>
      <c r="BP226" s="113"/>
      <c r="BQ226" s="113"/>
      <c r="BR226" s="113"/>
      <c r="BS226" s="113"/>
      <c r="BT226" s="113"/>
      <c r="BU226" s="113"/>
      <c r="BV226" s="113"/>
      <c r="BW226" s="113"/>
      <c r="BX226" s="113"/>
      <c r="BY226" s="113"/>
      <c r="BZ226" s="113"/>
      <c r="CA226" s="113"/>
      <c r="CB226" s="113"/>
    </row>
    <row r="227" spans="5:80" x14ac:dyDescent="0.25">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c r="AX227" s="113"/>
      <c r="AY227" s="113"/>
      <c r="AZ227" s="113"/>
      <c r="BA227" s="113"/>
      <c r="BB227" s="113"/>
      <c r="BC227" s="113"/>
      <c r="BD227" s="113"/>
      <c r="BE227" s="113"/>
      <c r="BF227" s="113"/>
      <c r="BG227" s="113"/>
      <c r="BH227" s="113"/>
      <c r="BI227" s="113"/>
      <c r="BJ227" s="113"/>
      <c r="BK227" s="113"/>
      <c r="BL227" s="113"/>
      <c r="BM227" s="113"/>
      <c r="BN227" s="113"/>
      <c r="BO227" s="113"/>
      <c r="BP227" s="113"/>
      <c r="BQ227" s="113"/>
      <c r="BR227" s="113"/>
      <c r="BS227" s="113"/>
      <c r="BT227" s="113"/>
      <c r="BU227" s="113"/>
      <c r="BV227" s="113"/>
      <c r="BW227" s="113"/>
      <c r="BX227" s="113"/>
      <c r="BY227" s="113"/>
      <c r="BZ227" s="113"/>
      <c r="CA227" s="113"/>
      <c r="CB227" s="113"/>
    </row>
    <row r="228" spans="5:80" x14ac:dyDescent="0.25">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c r="AX228" s="113"/>
      <c r="AY228" s="113"/>
      <c r="AZ228" s="113"/>
      <c r="BA228" s="113"/>
      <c r="BB228" s="113"/>
      <c r="BC228" s="113"/>
      <c r="BD228" s="113"/>
      <c r="BE228" s="113"/>
      <c r="BF228" s="113"/>
      <c r="BG228" s="113"/>
      <c r="BH228" s="113"/>
      <c r="BI228" s="113"/>
      <c r="BJ228" s="113"/>
      <c r="BK228" s="113"/>
      <c r="BL228" s="113"/>
      <c r="BM228" s="113"/>
      <c r="BN228" s="113"/>
      <c r="BO228" s="113"/>
      <c r="BP228" s="113"/>
      <c r="BQ228" s="113"/>
      <c r="BR228" s="113"/>
      <c r="BS228" s="113"/>
      <c r="BT228" s="113"/>
      <c r="BU228" s="113"/>
      <c r="BV228" s="113"/>
      <c r="BW228" s="113"/>
      <c r="BX228" s="113"/>
      <c r="BY228" s="113"/>
      <c r="BZ228" s="113"/>
      <c r="CA228" s="113"/>
      <c r="CB228" s="113"/>
    </row>
    <row r="229" spans="5:80" x14ac:dyDescent="0.25">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c r="AX229" s="113"/>
      <c r="AY229" s="113"/>
      <c r="AZ229" s="113"/>
      <c r="BA229" s="113"/>
      <c r="BB229" s="113"/>
      <c r="BC229" s="113"/>
      <c r="BD229" s="113"/>
      <c r="BE229" s="113"/>
      <c r="BF229" s="113"/>
      <c r="BG229" s="113"/>
      <c r="BH229" s="113"/>
      <c r="BI229" s="113"/>
      <c r="BJ229" s="113"/>
      <c r="BK229" s="113"/>
      <c r="BL229" s="113"/>
      <c r="BM229" s="113"/>
      <c r="BN229" s="113"/>
      <c r="BO229" s="113"/>
      <c r="BP229" s="113"/>
      <c r="BQ229" s="113"/>
      <c r="BR229" s="113"/>
      <c r="BS229" s="113"/>
      <c r="BT229" s="113"/>
      <c r="BU229" s="113"/>
      <c r="BV229" s="113"/>
      <c r="BW229" s="113"/>
      <c r="BX229" s="113"/>
      <c r="BY229" s="113"/>
      <c r="BZ229" s="113"/>
      <c r="CA229" s="113"/>
      <c r="CB229" s="113"/>
    </row>
    <row r="230" spans="5:80" x14ac:dyDescent="0.25">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c r="AX230" s="113"/>
      <c r="AY230" s="113"/>
      <c r="AZ230" s="113"/>
      <c r="BA230" s="113"/>
      <c r="BB230" s="113"/>
      <c r="BC230" s="113"/>
      <c r="BD230" s="113"/>
      <c r="BE230" s="113"/>
      <c r="BF230" s="113"/>
      <c r="BG230" s="113"/>
      <c r="BH230" s="113"/>
      <c r="BI230" s="113"/>
      <c r="BJ230" s="113"/>
      <c r="BK230" s="113"/>
      <c r="BL230" s="113"/>
      <c r="BM230" s="113"/>
      <c r="BN230" s="113"/>
      <c r="BO230" s="113"/>
      <c r="BP230" s="113"/>
      <c r="BQ230" s="113"/>
      <c r="BR230" s="113"/>
      <c r="BS230" s="113"/>
      <c r="BT230" s="113"/>
      <c r="BU230" s="113"/>
      <c r="BV230" s="113"/>
      <c r="BW230" s="113"/>
      <c r="BX230" s="113"/>
      <c r="BY230" s="113"/>
      <c r="BZ230" s="113"/>
      <c r="CA230" s="113"/>
      <c r="CB230" s="113"/>
    </row>
    <row r="231" spans="5:80" x14ac:dyDescent="0.25">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c r="AX231" s="113"/>
      <c r="AY231" s="113"/>
      <c r="AZ231" s="113"/>
      <c r="BA231" s="113"/>
      <c r="BB231" s="113"/>
      <c r="BC231" s="113"/>
      <c r="BD231" s="113"/>
      <c r="BE231" s="113"/>
      <c r="BF231" s="113"/>
      <c r="BG231" s="113"/>
      <c r="BH231" s="113"/>
      <c r="BI231" s="113"/>
      <c r="BJ231" s="113"/>
      <c r="BK231" s="113"/>
      <c r="BL231" s="113"/>
      <c r="BM231" s="113"/>
      <c r="BN231" s="113"/>
      <c r="BO231" s="113"/>
      <c r="BP231" s="113"/>
      <c r="BQ231" s="113"/>
      <c r="BR231" s="113"/>
      <c r="BS231" s="113"/>
      <c r="BT231" s="113"/>
      <c r="BU231" s="113"/>
      <c r="BV231" s="113"/>
      <c r="BW231" s="113"/>
      <c r="BX231" s="113"/>
      <c r="BY231" s="113"/>
      <c r="BZ231" s="113"/>
      <c r="CA231" s="113"/>
      <c r="CB231" s="113"/>
    </row>
    <row r="232" spans="5:80" x14ac:dyDescent="0.25">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c r="AX232" s="113"/>
      <c r="AY232" s="113"/>
      <c r="AZ232" s="113"/>
      <c r="BA232" s="113"/>
      <c r="BB232" s="113"/>
      <c r="BC232" s="113"/>
      <c r="BD232" s="113"/>
      <c r="BE232" s="113"/>
      <c r="BF232" s="113"/>
      <c r="BG232" s="113"/>
      <c r="BH232" s="113"/>
      <c r="BI232" s="113"/>
      <c r="BJ232" s="113"/>
      <c r="BK232" s="113"/>
      <c r="BL232" s="113"/>
      <c r="BM232" s="113"/>
      <c r="BN232" s="113"/>
      <c r="BO232" s="113"/>
      <c r="BP232" s="113"/>
      <c r="BQ232" s="113"/>
      <c r="BR232" s="113"/>
      <c r="BS232" s="113"/>
      <c r="BT232" s="113"/>
      <c r="BU232" s="113"/>
      <c r="BV232" s="113"/>
      <c r="BW232" s="113"/>
      <c r="BX232" s="113"/>
      <c r="BY232" s="113"/>
      <c r="BZ232" s="113"/>
      <c r="CA232" s="113"/>
      <c r="CB232" s="113"/>
    </row>
    <row r="233" spans="5:80" x14ac:dyDescent="0.25">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c r="AX233" s="113"/>
      <c r="AY233" s="113"/>
      <c r="AZ233" s="113"/>
      <c r="BA233" s="113"/>
      <c r="BB233" s="113"/>
      <c r="BC233" s="113"/>
      <c r="BD233" s="113"/>
      <c r="BE233" s="113"/>
      <c r="BF233" s="113"/>
      <c r="BG233" s="113"/>
      <c r="BH233" s="113"/>
      <c r="BI233" s="113"/>
      <c r="BJ233" s="113"/>
      <c r="BK233" s="113"/>
      <c r="BL233" s="113"/>
      <c r="BM233" s="113"/>
      <c r="BN233" s="113"/>
      <c r="BO233" s="113"/>
      <c r="BP233" s="113"/>
      <c r="BQ233" s="113"/>
      <c r="BR233" s="113"/>
      <c r="BS233" s="113"/>
      <c r="BT233" s="113"/>
      <c r="BU233" s="113"/>
      <c r="BV233" s="113"/>
      <c r="BW233" s="113"/>
      <c r="BX233" s="113"/>
      <c r="BY233" s="113"/>
      <c r="BZ233" s="113"/>
      <c r="CA233" s="113"/>
      <c r="CB233" s="113"/>
    </row>
    <row r="234" spans="5:80" x14ac:dyDescent="0.25">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c r="AX234" s="113"/>
      <c r="AY234" s="113"/>
      <c r="AZ234" s="113"/>
      <c r="BA234" s="113"/>
      <c r="BB234" s="113"/>
      <c r="BC234" s="113"/>
      <c r="BD234" s="113"/>
      <c r="BE234" s="113"/>
      <c r="BF234" s="113"/>
      <c r="BG234" s="113"/>
      <c r="BH234" s="113"/>
      <c r="BI234" s="113"/>
      <c r="BJ234" s="113"/>
      <c r="BK234" s="113"/>
      <c r="BL234" s="113"/>
      <c r="BM234" s="113"/>
      <c r="BN234" s="113"/>
      <c r="BO234" s="113"/>
      <c r="BP234" s="113"/>
      <c r="BQ234" s="113"/>
      <c r="BR234" s="113"/>
      <c r="BS234" s="113"/>
      <c r="BT234" s="113"/>
      <c r="BU234" s="113"/>
      <c r="BV234" s="113"/>
      <c r="BW234" s="113"/>
      <c r="BX234" s="113"/>
      <c r="BY234" s="113"/>
      <c r="BZ234" s="113"/>
      <c r="CA234" s="113"/>
      <c r="CB234" s="113"/>
    </row>
    <row r="235" spans="5:80" x14ac:dyDescent="0.25">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c r="AX235" s="113"/>
      <c r="AY235" s="113"/>
      <c r="AZ235" s="113"/>
      <c r="BA235" s="113"/>
      <c r="BB235" s="113"/>
      <c r="BC235" s="113"/>
      <c r="BD235" s="113"/>
      <c r="BE235" s="113"/>
      <c r="BF235" s="113"/>
      <c r="BG235" s="113"/>
      <c r="BH235" s="113"/>
      <c r="BI235" s="113"/>
      <c r="BJ235" s="113"/>
      <c r="BK235" s="113"/>
      <c r="BL235" s="113"/>
      <c r="BM235" s="113"/>
      <c r="BN235" s="113"/>
      <c r="BO235" s="113"/>
      <c r="BP235" s="113"/>
      <c r="BQ235" s="113"/>
      <c r="BR235" s="113"/>
      <c r="BS235" s="113"/>
      <c r="BT235" s="113"/>
      <c r="BU235" s="113"/>
      <c r="BV235" s="113"/>
      <c r="BW235" s="113"/>
      <c r="BX235" s="113"/>
      <c r="BY235" s="113"/>
      <c r="BZ235" s="113"/>
      <c r="CA235" s="113"/>
      <c r="CB235" s="113"/>
    </row>
    <row r="236" spans="5:80" x14ac:dyDescent="0.25">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3"/>
      <c r="AY236" s="113"/>
      <c r="AZ236" s="113"/>
      <c r="BA236" s="113"/>
      <c r="BB236" s="113"/>
      <c r="BC236" s="113"/>
      <c r="BD236" s="113"/>
      <c r="BE236" s="113"/>
      <c r="BF236" s="113"/>
      <c r="BG236" s="113"/>
      <c r="BH236" s="113"/>
      <c r="BI236" s="113"/>
      <c r="BJ236" s="113"/>
      <c r="BK236" s="113"/>
      <c r="BL236" s="113"/>
      <c r="BM236" s="113"/>
      <c r="BN236" s="113"/>
      <c r="BO236" s="113"/>
      <c r="BP236" s="113"/>
      <c r="BQ236" s="113"/>
      <c r="BR236" s="113"/>
      <c r="BS236" s="113"/>
      <c r="BT236" s="113"/>
      <c r="BU236" s="113"/>
      <c r="BV236" s="113"/>
      <c r="BW236" s="113"/>
      <c r="BX236" s="113"/>
      <c r="BY236" s="113"/>
      <c r="BZ236" s="113"/>
      <c r="CA236" s="113"/>
      <c r="CB236" s="113"/>
    </row>
    <row r="237" spans="5:80" x14ac:dyDescent="0.25">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c r="AX237" s="113"/>
      <c r="AY237" s="113"/>
      <c r="AZ237" s="113"/>
      <c r="BA237" s="113"/>
      <c r="BB237" s="113"/>
      <c r="BC237" s="113"/>
      <c r="BD237" s="113"/>
      <c r="BE237" s="113"/>
      <c r="BF237" s="113"/>
      <c r="BG237" s="113"/>
      <c r="BH237" s="113"/>
      <c r="BI237" s="113"/>
      <c r="BJ237" s="113"/>
      <c r="BK237" s="113"/>
      <c r="BL237" s="113"/>
      <c r="BM237" s="113"/>
      <c r="BN237" s="113"/>
      <c r="BO237" s="113"/>
      <c r="BP237" s="113"/>
      <c r="BQ237" s="113"/>
      <c r="BR237" s="113"/>
      <c r="BS237" s="113"/>
      <c r="BT237" s="113"/>
      <c r="BU237" s="113"/>
      <c r="BV237" s="113"/>
      <c r="BW237" s="113"/>
      <c r="BX237" s="113"/>
      <c r="BY237" s="113"/>
      <c r="BZ237" s="113"/>
      <c r="CA237" s="113"/>
      <c r="CB237" s="113"/>
    </row>
    <row r="238" spans="5:80" x14ac:dyDescent="0.25">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c r="AC238" s="113"/>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c r="AX238" s="113"/>
      <c r="AY238" s="113"/>
      <c r="AZ238" s="113"/>
      <c r="BA238" s="113"/>
      <c r="BB238" s="113"/>
      <c r="BC238" s="113"/>
      <c r="BD238" s="113"/>
      <c r="BE238" s="113"/>
      <c r="BF238" s="113"/>
      <c r="BG238" s="113"/>
      <c r="BH238" s="113"/>
      <c r="BI238" s="113"/>
      <c r="BJ238" s="113"/>
      <c r="BK238" s="113"/>
      <c r="BL238" s="113"/>
      <c r="BM238" s="113"/>
      <c r="BN238" s="113"/>
      <c r="BO238" s="113"/>
      <c r="BP238" s="113"/>
      <c r="BQ238" s="113"/>
      <c r="BR238" s="113"/>
      <c r="BS238" s="113"/>
      <c r="BT238" s="113"/>
      <c r="BU238" s="113"/>
      <c r="BV238" s="113"/>
      <c r="BW238" s="113"/>
      <c r="BX238" s="113"/>
      <c r="BY238" s="113"/>
      <c r="BZ238" s="113"/>
      <c r="CA238" s="113"/>
      <c r="CB238" s="113"/>
    </row>
    <row r="239" spans="5:80" x14ac:dyDescent="0.25">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c r="AC239" s="113"/>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c r="AX239" s="113"/>
      <c r="AY239" s="113"/>
      <c r="AZ239" s="113"/>
      <c r="BA239" s="113"/>
      <c r="BB239" s="113"/>
      <c r="BC239" s="113"/>
      <c r="BD239" s="113"/>
      <c r="BE239" s="113"/>
      <c r="BF239" s="113"/>
      <c r="BG239" s="113"/>
      <c r="BH239" s="113"/>
      <c r="BI239" s="113"/>
      <c r="BJ239" s="113"/>
      <c r="BK239" s="113"/>
      <c r="BL239" s="113"/>
      <c r="BM239" s="113"/>
      <c r="BN239" s="113"/>
      <c r="BO239" s="113"/>
      <c r="BP239" s="113"/>
      <c r="BQ239" s="113"/>
      <c r="BR239" s="113"/>
      <c r="BS239" s="113"/>
      <c r="BT239" s="113"/>
      <c r="BU239" s="113"/>
      <c r="BV239" s="113"/>
      <c r="BW239" s="113"/>
      <c r="BX239" s="113"/>
      <c r="BY239" s="113"/>
      <c r="BZ239" s="113"/>
      <c r="CA239" s="113"/>
      <c r="CB239" s="113"/>
    </row>
    <row r="240" spans="5:80" x14ac:dyDescent="0.25">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c r="AX240" s="113"/>
      <c r="AY240" s="113"/>
      <c r="AZ240" s="113"/>
      <c r="BA240" s="113"/>
      <c r="BB240" s="113"/>
      <c r="BC240" s="113"/>
      <c r="BD240" s="113"/>
      <c r="BE240" s="113"/>
      <c r="BF240" s="113"/>
      <c r="BG240" s="113"/>
      <c r="BH240" s="113"/>
      <c r="BI240" s="113"/>
      <c r="BJ240" s="113"/>
      <c r="BK240" s="113"/>
      <c r="BL240" s="113"/>
      <c r="BM240" s="113"/>
      <c r="BN240" s="113"/>
      <c r="BO240" s="113"/>
      <c r="BP240" s="113"/>
      <c r="BQ240" s="113"/>
      <c r="BR240" s="113"/>
      <c r="BS240" s="113"/>
      <c r="BT240" s="113"/>
      <c r="BU240" s="113"/>
      <c r="BV240" s="113"/>
      <c r="BW240" s="113"/>
      <c r="BX240" s="113"/>
      <c r="BY240" s="113"/>
      <c r="BZ240" s="113"/>
      <c r="CA240" s="113"/>
      <c r="CB240" s="113"/>
    </row>
    <row r="241" spans="5:80" x14ac:dyDescent="0.25">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c r="AC241" s="113"/>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c r="AX241" s="113"/>
      <c r="AY241" s="113"/>
      <c r="AZ241" s="113"/>
      <c r="BA241" s="113"/>
      <c r="BB241" s="113"/>
      <c r="BC241" s="113"/>
      <c r="BD241" s="113"/>
      <c r="BE241" s="113"/>
      <c r="BF241" s="113"/>
      <c r="BG241" s="113"/>
      <c r="BH241" s="113"/>
      <c r="BI241" s="113"/>
      <c r="BJ241" s="113"/>
      <c r="BK241" s="113"/>
      <c r="BL241" s="113"/>
      <c r="BM241" s="113"/>
      <c r="BN241" s="113"/>
      <c r="BO241" s="113"/>
      <c r="BP241" s="113"/>
      <c r="BQ241" s="113"/>
      <c r="BR241" s="113"/>
      <c r="BS241" s="113"/>
      <c r="BT241" s="113"/>
      <c r="BU241" s="113"/>
      <c r="BV241" s="113"/>
      <c r="BW241" s="113"/>
      <c r="BX241" s="113"/>
      <c r="BY241" s="113"/>
      <c r="BZ241" s="113"/>
      <c r="CA241" s="113"/>
      <c r="CB241" s="113"/>
    </row>
    <row r="242" spans="5:80" x14ac:dyDescent="0.25">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c r="AC242" s="113"/>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c r="AX242" s="113"/>
      <c r="AY242" s="113"/>
      <c r="AZ242" s="113"/>
      <c r="BA242" s="113"/>
      <c r="BB242" s="113"/>
      <c r="BC242" s="113"/>
      <c r="BD242" s="113"/>
      <c r="BE242" s="113"/>
      <c r="BF242" s="113"/>
      <c r="BG242" s="113"/>
      <c r="BH242" s="113"/>
      <c r="BI242" s="113"/>
      <c r="BJ242" s="113"/>
      <c r="BK242" s="113"/>
      <c r="BL242" s="113"/>
      <c r="BM242" s="113"/>
      <c r="BN242" s="113"/>
      <c r="BO242" s="113"/>
      <c r="BP242" s="113"/>
      <c r="BQ242" s="113"/>
      <c r="BR242" s="113"/>
      <c r="BS242" s="113"/>
      <c r="BT242" s="113"/>
      <c r="BU242" s="113"/>
      <c r="BV242" s="113"/>
      <c r="BW242" s="113"/>
      <c r="BX242" s="113"/>
      <c r="BY242" s="113"/>
      <c r="BZ242" s="113"/>
      <c r="CA242" s="113"/>
      <c r="CB242" s="113"/>
    </row>
    <row r="243" spans="5:80" x14ac:dyDescent="0.25">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3"/>
      <c r="AY243" s="113"/>
      <c r="AZ243" s="113"/>
      <c r="BA243" s="113"/>
      <c r="BB243" s="113"/>
      <c r="BC243" s="113"/>
      <c r="BD243" s="113"/>
      <c r="BE243" s="113"/>
      <c r="BF243" s="113"/>
      <c r="BG243" s="113"/>
      <c r="BH243" s="113"/>
      <c r="BI243" s="113"/>
      <c r="BJ243" s="113"/>
      <c r="BK243" s="113"/>
      <c r="BL243" s="113"/>
      <c r="BM243" s="113"/>
      <c r="BN243" s="113"/>
      <c r="BO243" s="113"/>
      <c r="BP243" s="113"/>
      <c r="BQ243" s="113"/>
      <c r="BR243" s="113"/>
      <c r="BS243" s="113"/>
      <c r="BT243" s="113"/>
      <c r="BU243" s="113"/>
      <c r="BV243" s="113"/>
      <c r="BW243" s="113"/>
      <c r="BX243" s="113"/>
      <c r="BY243" s="113"/>
      <c r="BZ243" s="113"/>
      <c r="CA243" s="113"/>
      <c r="CB243" s="113"/>
    </row>
    <row r="244" spans="5:80" x14ac:dyDescent="0.25">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c r="AX244" s="113"/>
      <c r="AY244" s="113"/>
      <c r="AZ244" s="113"/>
      <c r="BA244" s="113"/>
      <c r="BB244" s="113"/>
      <c r="BC244" s="113"/>
      <c r="BD244" s="113"/>
      <c r="BE244" s="113"/>
      <c r="BF244" s="113"/>
      <c r="BG244" s="113"/>
      <c r="BH244" s="113"/>
      <c r="BI244" s="113"/>
      <c r="BJ244" s="113"/>
      <c r="BK244" s="113"/>
      <c r="BL244" s="113"/>
      <c r="BM244" s="113"/>
      <c r="BN244" s="113"/>
      <c r="BO244" s="113"/>
      <c r="BP244" s="113"/>
      <c r="BQ244" s="113"/>
      <c r="BR244" s="113"/>
      <c r="BS244" s="113"/>
      <c r="BT244" s="113"/>
      <c r="BU244" s="113"/>
      <c r="BV244" s="113"/>
      <c r="BW244" s="113"/>
      <c r="BX244" s="113"/>
      <c r="BY244" s="113"/>
      <c r="BZ244" s="113"/>
      <c r="CA244" s="113"/>
      <c r="CB244" s="113"/>
    </row>
    <row r="245" spans="5:80" x14ac:dyDescent="0.25">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c r="AX245" s="113"/>
      <c r="AY245" s="113"/>
      <c r="AZ245" s="113"/>
      <c r="BA245" s="113"/>
      <c r="BB245" s="113"/>
      <c r="BC245" s="113"/>
      <c r="BD245" s="113"/>
      <c r="BE245" s="113"/>
      <c r="BF245" s="113"/>
      <c r="BG245" s="113"/>
      <c r="BH245" s="113"/>
      <c r="BI245" s="113"/>
      <c r="BJ245" s="113"/>
      <c r="BK245" s="113"/>
      <c r="BL245" s="113"/>
      <c r="BM245" s="113"/>
      <c r="BN245" s="113"/>
      <c r="BO245" s="113"/>
      <c r="BP245" s="113"/>
      <c r="BQ245" s="113"/>
      <c r="BR245" s="113"/>
      <c r="BS245" s="113"/>
      <c r="BT245" s="113"/>
      <c r="BU245" s="113"/>
      <c r="BV245" s="113"/>
      <c r="BW245" s="113"/>
      <c r="BX245" s="113"/>
      <c r="BY245" s="113"/>
      <c r="BZ245" s="113"/>
      <c r="CA245" s="113"/>
      <c r="CB245" s="113"/>
    </row>
    <row r="246" spans="5:80" x14ac:dyDescent="0.25">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c r="AX246" s="113"/>
      <c r="AY246" s="113"/>
      <c r="AZ246" s="113"/>
      <c r="BA246" s="113"/>
      <c r="BB246" s="113"/>
      <c r="BC246" s="113"/>
      <c r="BD246" s="113"/>
      <c r="BE246" s="113"/>
      <c r="BF246" s="113"/>
      <c r="BG246" s="113"/>
      <c r="BH246" s="113"/>
      <c r="BI246" s="113"/>
      <c r="BJ246" s="113"/>
      <c r="BK246" s="113"/>
      <c r="BL246" s="113"/>
      <c r="BM246" s="113"/>
      <c r="BN246" s="113"/>
      <c r="BO246" s="113"/>
      <c r="BP246" s="113"/>
      <c r="BQ246" s="113"/>
      <c r="BR246" s="113"/>
      <c r="BS246" s="113"/>
      <c r="BT246" s="113"/>
      <c r="BU246" s="113"/>
      <c r="BV246" s="113"/>
      <c r="BW246" s="113"/>
      <c r="BX246" s="113"/>
      <c r="BY246" s="113"/>
      <c r="BZ246" s="113"/>
      <c r="CA246" s="113"/>
      <c r="CB246" s="113"/>
    </row>
    <row r="247" spans="5:80" x14ac:dyDescent="0.25">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c r="AC247" s="113"/>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c r="AX247" s="113"/>
      <c r="AY247" s="113"/>
      <c r="AZ247" s="113"/>
      <c r="BA247" s="113"/>
      <c r="BB247" s="113"/>
      <c r="BC247" s="113"/>
      <c r="BD247" s="113"/>
      <c r="BE247" s="113"/>
      <c r="BF247" s="113"/>
      <c r="BG247" s="113"/>
      <c r="BH247" s="113"/>
      <c r="BI247" s="113"/>
      <c r="BJ247" s="113"/>
      <c r="BK247" s="113"/>
      <c r="BL247" s="113"/>
      <c r="BM247" s="113"/>
      <c r="BN247" s="113"/>
      <c r="BO247" s="113"/>
      <c r="BP247" s="113"/>
      <c r="BQ247" s="113"/>
      <c r="BR247" s="113"/>
      <c r="BS247" s="113"/>
      <c r="BT247" s="113"/>
      <c r="BU247" s="113"/>
      <c r="BV247" s="113"/>
      <c r="BW247" s="113"/>
      <c r="BX247" s="113"/>
      <c r="BY247" s="113"/>
      <c r="BZ247" s="113"/>
      <c r="CA247" s="113"/>
      <c r="CB247" s="113"/>
    </row>
    <row r="248" spans="5:80" x14ac:dyDescent="0.25">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c r="AC248" s="113"/>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c r="AX248" s="113"/>
      <c r="AY248" s="113"/>
      <c r="AZ248" s="113"/>
      <c r="BA248" s="113"/>
      <c r="BB248" s="113"/>
      <c r="BC248" s="113"/>
      <c r="BD248" s="113"/>
      <c r="BE248" s="113"/>
      <c r="BF248" s="113"/>
      <c r="BG248" s="113"/>
      <c r="BH248" s="113"/>
      <c r="BI248" s="113"/>
      <c r="BJ248" s="113"/>
      <c r="BK248" s="113"/>
      <c r="BL248" s="113"/>
      <c r="BM248" s="113"/>
      <c r="BN248" s="113"/>
      <c r="BO248" s="113"/>
      <c r="BP248" s="113"/>
      <c r="BQ248" s="113"/>
      <c r="BR248" s="113"/>
      <c r="BS248" s="113"/>
      <c r="BT248" s="113"/>
      <c r="BU248" s="113"/>
      <c r="BV248" s="113"/>
      <c r="BW248" s="113"/>
      <c r="BX248" s="113"/>
      <c r="BY248" s="113"/>
      <c r="BZ248" s="113"/>
      <c r="CA248" s="113"/>
      <c r="CB248" s="113"/>
    </row>
    <row r="249" spans="5:80" x14ac:dyDescent="0.25">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c r="AX249" s="113"/>
      <c r="AY249" s="113"/>
      <c r="AZ249" s="113"/>
      <c r="BA249" s="113"/>
      <c r="BB249" s="113"/>
      <c r="BC249" s="113"/>
      <c r="BD249" s="113"/>
      <c r="BE249" s="113"/>
      <c r="BF249" s="113"/>
      <c r="BG249" s="113"/>
      <c r="BH249" s="113"/>
      <c r="BI249" s="113"/>
      <c r="BJ249" s="113"/>
      <c r="BK249" s="113"/>
      <c r="BL249" s="113"/>
      <c r="BM249" s="113"/>
      <c r="BN249" s="113"/>
      <c r="BO249" s="113"/>
      <c r="BP249" s="113"/>
      <c r="BQ249" s="113"/>
      <c r="BR249" s="113"/>
      <c r="BS249" s="113"/>
      <c r="BT249" s="113"/>
      <c r="BU249" s="113"/>
      <c r="BV249" s="113"/>
      <c r="BW249" s="113"/>
      <c r="BX249" s="113"/>
      <c r="BY249" s="113"/>
      <c r="BZ249" s="113"/>
      <c r="CA249" s="113"/>
      <c r="CB249" s="113"/>
    </row>
    <row r="250" spans="5:80" x14ac:dyDescent="0.25">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c r="AC250" s="113"/>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c r="AX250" s="113"/>
      <c r="AY250" s="113"/>
      <c r="AZ250" s="113"/>
      <c r="BA250" s="113"/>
      <c r="BB250" s="113"/>
      <c r="BC250" s="113"/>
      <c r="BD250" s="113"/>
      <c r="BE250" s="113"/>
      <c r="BF250" s="113"/>
      <c r="BG250" s="113"/>
      <c r="BH250" s="113"/>
      <c r="BI250" s="113"/>
      <c r="BJ250" s="113"/>
      <c r="BK250" s="113"/>
      <c r="BL250" s="113"/>
      <c r="BM250" s="113"/>
      <c r="BN250" s="113"/>
      <c r="BO250" s="113"/>
      <c r="BP250" s="113"/>
      <c r="BQ250" s="113"/>
      <c r="BR250" s="113"/>
      <c r="BS250" s="113"/>
      <c r="BT250" s="113"/>
      <c r="BU250" s="113"/>
      <c r="BV250" s="113"/>
      <c r="BW250" s="113"/>
      <c r="BX250" s="113"/>
      <c r="BY250" s="113"/>
      <c r="BZ250" s="113"/>
      <c r="CA250" s="113"/>
      <c r="CB250" s="113"/>
    </row>
    <row r="251" spans="5:80" x14ac:dyDescent="0.25">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c r="AC251" s="113"/>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c r="AX251" s="113"/>
      <c r="AY251" s="113"/>
      <c r="AZ251" s="113"/>
      <c r="BA251" s="113"/>
      <c r="BB251" s="113"/>
      <c r="BC251" s="113"/>
      <c r="BD251" s="113"/>
      <c r="BE251" s="113"/>
      <c r="BF251" s="113"/>
      <c r="BG251" s="113"/>
      <c r="BH251" s="113"/>
      <c r="BI251" s="113"/>
      <c r="BJ251" s="113"/>
      <c r="BK251" s="113"/>
      <c r="BL251" s="113"/>
      <c r="BM251" s="113"/>
      <c r="BN251" s="113"/>
      <c r="BO251" s="113"/>
      <c r="BP251" s="113"/>
      <c r="BQ251" s="113"/>
      <c r="BR251" s="113"/>
      <c r="BS251" s="113"/>
      <c r="BT251" s="113"/>
      <c r="BU251" s="113"/>
      <c r="BV251" s="113"/>
      <c r="BW251" s="113"/>
      <c r="BX251" s="113"/>
      <c r="BY251" s="113"/>
      <c r="BZ251" s="113"/>
      <c r="CA251" s="113"/>
      <c r="CB251" s="113"/>
    </row>
    <row r="252" spans="5:80" x14ac:dyDescent="0.25">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c r="AC252" s="113"/>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c r="AX252" s="113"/>
      <c r="AY252" s="113"/>
      <c r="AZ252" s="113"/>
      <c r="BA252" s="113"/>
      <c r="BB252" s="113"/>
      <c r="BC252" s="113"/>
      <c r="BD252" s="113"/>
      <c r="BE252" s="113"/>
      <c r="BF252" s="113"/>
      <c r="BG252" s="113"/>
      <c r="BH252" s="113"/>
      <c r="BI252" s="113"/>
      <c r="BJ252" s="113"/>
      <c r="BK252" s="113"/>
      <c r="BL252" s="113"/>
      <c r="BM252" s="113"/>
      <c r="BN252" s="113"/>
      <c r="BO252" s="113"/>
      <c r="BP252" s="113"/>
      <c r="BQ252" s="113"/>
      <c r="BR252" s="113"/>
      <c r="BS252" s="113"/>
      <c r="BT252" s="113"/>
      <c r="BU252" s="113"/>
      <c r="BV252" s="113"/>
      <c r="BW252" s="113"/>
      <c r="BX252" s="113"/>
      <c r="BY252" s="113"/>
      <c r="BZ252" s="113"/>
      <c r="CA252" s="113"/>
      <c r="CB252" s="113"/>
    </row>
    <row r="253" spans="5:80" x14ac:dyDescent="0.25">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c r="AC253" s="113"/>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c r="AX253" s="113"/>
      <c r="AY253" s="113"/>
      <c r="AZ253" s="113"/>
      <c r="BA253" s="113"/>
      <c r="BB253" s="113"/>
      <c r="BC253" s="113"/>
      <c r="BD253" s="113"/>
      <c r="BE253" s="113"/>
      <c r="BF253" s="113"/>
      <c r="BG253" s="113"/>
      <c r="BH253" s="113"/>
      <c r="BI253" s="113"/>
      <c r="BJ253" s="113"/>
      <c r="BK253" s="113"/>
      <c r="BL253" s="113"/>
      <c r="BM253" s="113"/>
      <c r="BN253" s="113"/>
      <c r="BO253" s="113"/>
      <c r="BP253" s="113"/>
      <c r="BQ253" s="113"/>
      <c r="BR253" s="113"/>
      <c r="BS253" s="113"/>
      <c r="BT253" s="113"/>
      <c r="BU253" s="113"/>
      <c r="BV253" s="113"/>
      <c r="BW253" s="113"/>
      <c r="BX253" s="113"/>
      <c r="BY253" s="113"/>
      <c r="BZ253" s="113"/>
      <c r="CA253" s="113"/>
      <c r="CB253" s="113"/>
    </row>
    <row r="254" spans="5:80" x14ac:dyDescent="0.25">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c r="AX254" s="113"/>
      <c r="AY254" s="113"/>
      <c r="AZ254" s="113"/>
      <c r="BA254" s="113"/>
      <c r="BB254" s="113"/>
      <c r="BC254" s="113"/>
      <c r="BD254" s="113"/>
      <c r="BE254" s="113"/>
      <c r="BF254" s="113"/>
      <c r="BG254" s="113"/>
      <c r="BH254" s="113"/>
      <c r="BI254" s="113"/>
      <c r="BJ254" s="113"/>
      <c r="BK254" s="113"/>
      <c r="BL254" s="113"/>
      <c r="BM254" s="113"/>
      <c r="BN254" s="113"/>
      <c r="BO254" s="113"/>
      <c r="BP254" s="113"/>
      <c r="BQ254" s="113"/>
      <c r="BR254" s="113"/>
      <c r="BS254" s="113"/>
      <c r="BT254" s="113"/>
      <c r="BU254" s="113"/>
      <c r="BV254" s="113"/>
      <c r="BW254" s="113"/>
      <c r="BX254" s="113"/>
      <c r="BY254" s="113"/>
      <c r="BZ254" s="113"/>
      <c r="CA254" s="113"/>
      <c r="CB254" s="113"/>
    </row>
    <row r="255" spans="5:80" x14ac:dyDescent="0.25">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3"/>
      <c r="AY255" s="113"/>
      <c r="AZ255" s="113"/>
      <c r="BA255" s="113"/>
      <c r="BB255" s="113"/>
      <c r="BC255" s="113"/>
      <c r="BD255" s="113"/>
      <c r="BE255" s="113"/>
      <c r="BF255" s="113"/>
      <c r="BG255" s="113"/>
      <c r="BH255" s="113"/>
      <c r="BI255" s="113"/>
      <c r="BJ255" s="113"/>
      <c r="BK255" s="113"/>
      <c r="BL255" s="113"/>
      <c r="BM255" s="113"/>
      <c r="BN255" s="113"/>
      <c r="BO255" s="113"/>
      <c r="BP255" s="113"/>
      <c r="BQ255" s="113"/>
      <c r="BR255" s="113"/>
      <c r="BS255" s="113"/>
      <c r="BT255" s="113"/>
      <c r="BU255" s="113"/>
      <c r="BV255" s="113"/>
      <c r="BW255" s="113"/>
      <c r="BX255" s="113"/>
      <c r="BY255" s="113"/>
      <c r="BZ255" s="113"/>
      <c r="CA255" s="113"/>
      <c r="CB255" s="113"/>
    </row>
    <row r="256" spans="5:80" x14ac:dyDescent="0.25">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3"/>
      <c r="AY256" s="113"/>
      <c r="AZ256" s="113"/>
      <c r="BA256" s="113"/>
      <c r="BB256" s="113"/>
      <c r="BC256" s="113"/>
      <c r="BD256" s="113"/>
      <c r="BE256" s="113"/>
      <c r="BF256" s="113"/>
      <c r="BG256" s="113"/>
      <c r="BH256" s="113"/>
      <c r="BI256" s="113"/>
      <c r="BJ256" s="113"/>
      <c r="BK256" s="113"/>
      <c r="BL256" s="113"/>
      <c r="BM256" s="113"/>
      <c r="BN256" s="113"/>
      <c r="BO256" s="113"/>
      <c r="BP256" s="113"/>
      <c r="BQ256" s="113"/>
      <c r="BR256" s="113"/>
      <c r="BS256" s="113"/>
      <c r="BT256" s="113"/>
      <c r="BU256" s="113"/>
      <c r="BV256" s="113"/>
      <c r="BW256" s="113"/>
      <c r="BX256" s="113"/>
      <c r="BY256" s="113"/>
      <c r="BZ256" s="113"/>
      <c r="CA256" s="113"/>
      <c r="CB256" s="113"/>
    </row>
    <row r="257" spans="5:80" x14ac:dyDescent="0.25">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3"/>
      <c r="AY257" s="113"/>
      <c r="AZ257" s="113"/>
      <c r="BA257" s="113"/>
      <c r="BB257" s="113"/>
      <c r="BC257" s="113"/>
      <c r="BD257" s="113"/>
      <c r="BE257" s="113"/>
      <c r="BF257" s="113"/>
      <c r="BG257" s="113"/>
      <c r="BH257" s="113"/>
      <c r="BI257" s="113"/>
      <c r="BJ257" s="113"/>
      <c r="BK257" s="113"/>
      <c r="BL257" s="113"/>
      <c r="BM257" s="113"/>
      <c r="BN257" s="113"/>
      <c r="BO257" s="113"/>
      <c r="BP257" s="113"/>
      <c r="BQ257" s="113"/>
      <c r="BR257" s="113"/>
      <c r="BS257" s="113"/>
      <c r="BT257" s="113"/>
      <c r="BU257" s="113"/>
      <c r="BV257" s="113"/>
      <c r="BW257" s="113"/>
      <c r="BX257" s="113"/>
      <c r="BY257" s="113"/>
      <c r="BZ257" s="113"/>
      <c r="CA257" s="113"/>
      <c r="CB257" s="113"/>
    </row>
    <row r="258" spans="5:80" x14ac:dyDescent="0.25">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3"/>
      <c r="AY258" s="113"/>
      <c r="AZ258" s="113"/>
      <c r="BA258" s="113"/>
      <c r="BB258" s="113"/>
      <c r="BC258" s="113"/>
      <c r="BD258" s="113"/>
      <c r="BE258" s="113"/>
      <c r="BF258" s="113"/>
      <c r="BG258" s="113"/>
      <c r="BH258" s="113"/>
      <c r="BI258" s="113"/>
      <c r="BJ258" s="113"/>
      <c r="BK258" s="113"/>
      <c r="BL258" s="113"/>
      <c r="BM258" s="113"/>
      <c r="BN258" s="113"/>
      <c r="BO258" s="113"/>
      <c r="BP258" s="113"/>
      <c r="BQ258" s="113"/>
      <c r="BR258" s="113"/>
      <c r="BS258" s="113"/>
      <c r="BT258" s="113"/>
      <c r="BU258" s="113"/>
      <c r="BV258" s="113"/>
      <c r="BW258" s="113"/>
      <c r="BX258" s="113"/>
      <c r="BY258" s="113"/>
      <c r="BZ258" s="113"/>
      <c r="CA258" s="113"/>
      <c r="CB258" s="113"/>
    </row>
    <row r="259" spans="5:80" x14ac:dyDescent="0.25">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c r="AC259" s="113"/>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c r="AX259" s="113"/>
      <c r="AY259" s="113"/>
      <c r="AZ259" s="113"/>
      <c r="BA259" s="113"/>
      <c r="BB259" s="113"/>
      <c r="BC259" s="113"/>
      <c r="BD259" s="113"/>
      <c r="BE259" s="113"/>
      <c r="BF259" s="113"/>
      <c r="BG259" s="113"/>
      <c r="BH259" s="113"/>
      <c r="BI259" s="113"/>
      <c r="BJ259" s="113"/>
      <c r="BK259" s="113"/>
      <c r="BL259" s="113"/>
      <c r="BM259" s="113"/>
      <c r="BN259" s="113"/>
      <c r="BO259" s="113"/>
      <c r="BP259" s="113"/>
      <c r="BQ259" s="113"/>
      <c r="BR259" s="113"/>
      <c r="BS259" s="113"/>
      <c r="BT259" s="113"/>
      <c r="BU259" s="113"/>
      <c r="BV259" s="113"/>
      <c r="BW259" s="113"/>
      <c r="BX259" s="113"/>
      <c r="BY259" s="113"/>
      <c r="BZ259" s="113"/>
      <c r="CA259" s="113"/>
      <c r="CB259" s="113"/>
    </row>
    <row r="260" spans="5:80" x14ac:dyDescent="0.25">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3"/>
      <c r="AY260" s="113"/>
      <c r="AZ260" s="113"/>
      <c r="BA260" s="113"/>
      <c r="BB260" s="113"/>
      <c r="BC260" s="113"/>
      <c r="BD260" s="113"/>
      <c r="BE260" s="113"/>
      <c r="BF260" s="113"/>
      <c r="BG260" s="113"/>
      <c r="BH260" s="113"/>
      <c r="BI260" s="113"/>
      <c r="BJ260" s="113"/>
      <c r="BK260" s="113"/>
      <c r="BL260" s="113"/>
      <c r="BM260" s="113"/>
      <c r="BN260" s="113"/>
      <c r="BO260" s="113"/>
      <c r="BP260" s="113"/>
      <c r="BQ260" s="113"/>
      <c r="BR260" s="113"/>
      <c r="BS260" s="113"/>
      <c r="BT260" s="113"/>
      <c r="BU260" s="113"/>
      <c r="BV260" s="113"/>
      <c r="BW260" s="113"/>
      <c r="BX260" s="113"/>
      <c r="BY260" s="113"/>
      <c r="BZ260" s="113"/>
      <c r="CA260" s="113"/>
      <c r="CB260" s="113"/>
    </row>
    <row r="261" spans="5:80" x14ac:dyDescent="0.25">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c r="AC261" s="113"/>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c r="AX261" s="113"/>
      <c r="AY261" s="113"/>
      <c r="AZ261" s="113"/>
      <c r="BA261" s="113"/>
      <c r="BB261" s="113"/>
      <c r="BC261" s="113"/>
      <c r="BD261" s="113"/>
      <c r="BE261" s="113"/>
      <c r="BF261" s="113"/>
      <c r="BG261" s="113"/>
      <c r="BH261" s="113"/>
      <c r="BI261" s="113"/>
      <c r="BJ261" s="113"/>
      <c r="BK261" s="113"/>
      <c r="BL261" s="113"/>
      <c r="BM261" s="113"/>
      <c r="BN261" s="113"/>
      <c r="BO261" s="113"/>
      <c r="BP261" s="113"/>
      <c r="BQ261" s="113"/>
      <c r="BR261" s="113"/>
      <c r="BS261" s="113"/>
      <c r="BT261" s="113"/>
      <c r="BU261" s="113"/>
      <c r="BV261" s="113"/>
      <c r="BW261" s="113"/>
      <c r="BX261" s="113"/>
      <c r="BY261" s="113"/>
      <c r="BZ261" s="113"/>
      <c r="CA261" s="113"/>
      <c r="CB261" s="113"/>
    </row>
    <row r="262" spans="5:80" x14ac:dyDescent="0.25">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3"/>
      <c r="AY262" s="113"/>
      <c r="AZ262" s="113"/>
      <c r="BA262" s="113"/>
      <c r="BB262" s="113"/>
      <c r="BC262" s="113"/>
      <c r="BD262" s="113"/>
      <c r="BE262" s="113"/>
      <c r="BF262" s="113"/>
      <c r="BG262" s="113"/>
      <c r="BH262" s="113"/>
      <c r="BI262" s="113"/>
      <c r="BJ262" s="113"/>
      <c r="BK262" s="113"/>
      <c r="BL262" s="113"/>
      <c r="BM262" s="113"/>
      <c r="BN262" s="113"/>
      <c r="BO262" s="113"/>
      <c r="BP262" s="113"/>
      <c r="BQ262" s="113"/>
      <c r="BR262" s="113"/>
      <c r="BS262" s="113"/>
      <c r="BT262" s="113"/>
      <c r="BU262" s="113"/>
      <c r="BV262" s="113"/>
      <c r="BW262" s="113"/>
      <c r="BX262" s="113"/>
      <c r="BY262" s="113"/>
      <c r="BZ262" s="113"/>
      <c r="CA262" s="113"/>
      <c r="CB262" s="113"/>
    </row>
    <row r="263" spans="5:80" x14ac:dyDescent="0.25">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c r="AX263" s="113"/>
      <c r="AY263" s="113"/>
      <c r="AZ263" s="113"/>
      <c r="BA263" s="113"/>
      <c r="BB263" s="113"/>
      <c r="BC263" s="113"/>
      <c r="BD263" s="113"/>
      <c r="BE263" s="113"/>
      <c r="BF263" s="113"/>
      <c r="BG263" s="113"/>
      <c r="BH263" s="113"/>
      <c r="BI263" s="113"/>
      <c r="BJ263" s="113"/>
      <c r="BK263" s="113"/>
      <c r="BL263" s="113"/>
      <c r="BM263" s="113"/>
      <c r="BN263" s="113"/>
      <c r="BO263" s="113"/>
      <c r="BP263" s="113"/>
      <c r="BQ263" s="113"/>
      <c r="BR263" s="113"/>
      <c r="BS263" s="113"/>
      <c r="BT263" s="113"/>
      <c r="BU263" s="113"/>
      <c r="BV263" s="113"/>
      <c r="BW263" s="113"/>
      <c r="BX263" s="113"/>
      <c r="BY263" s="113"/>
      <c r="BZ263" s="113"/>
      <c r="CA263" s="113"/>
      <c r="CB263" s="113"/>
    </row>
    <row r="264" spans="5:80" x14ac:dyDescent="0.25">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3"/>
      <c r="AY264" s="113"/>
      <c r="AZ264" s="113"/>
      <c r="BA264" s="113"/>
      <c r="BB264" s="113"/>
      <c r="BC264" s="113"/>
      <c r="BD264" s="113"/>
      <c r="BE264" s="113"/>
      <c r="BF264" s="113"/>
      <c r="BG264" s="113"/>
      <c r="BH264" s="113"/>
      <c r="BI264" s="113"/>
      <c r="BJ264" s="113"/>
      <c r="BK264" s="113"/>
      <c r="BL264" s="113"/>
      <c r="BM264" s="113"/>
      <c r="BN264" s="113"/>
      <c r="BO264" s="113"/>
      <c r="BP264" s="113"/>
      <c r="BQ264" s="113"/>
      <c r="BR264" s="113"/>
      <c r="BS264" s="113"/>
      <c r="BT264" s="113"/>
      <c r="BU264" s="113"/>
      <c r="BV264" s="113"/>
      <c r="BW264" s="113"/>
      <c r="BX264" s="113"/>
      <c r="BY264" s="113"/>
      <c r="BZ264" s="113"/>
      <c r="CA264" s="113"/>
      <c r="CB264" s="113"/>
    </row>
    <row r="265" spans="5:80" x14ac:dyDescent="0.25">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c r="AC265" s="113"/>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c r="AX265" s="113"/>
      <c r="AY265" s="113"/>
      <c r="AZ265" s="113"/>
      <c r="BA265" s="113"/>
      <c r="BB265" s="113"/>
      <c r="BC265" s="113"/>
      <c r="BD265" s="113"/>
      <c r="BE265" s="113"/>
      <c r="BF265" s="113"/>
      <c r="BG265" s="113"/>
      <c r="BH265" s="113"/>
      <c r="BI265" s="113"/>
      <c r="BJ265" s="113"/>
      <c r="BK265" s="113"/>
      <c r="BL265" s="113"/>
      <c r="BM265" s="113"/>
      <c r="BN265" s="113"/>
      <c r="BO265" s="113"/>
      <c r="BP265" s="113"/>
      <c r="BQ265" s="113"/>
      <c r="BR265" s="113"/>
      <c r="BS265" s="113"/>
      <c r="BT265" s="113"/>
      <c r="BU265" s="113"/>
      <c r="BV265" s="113"/>
      <c r="BW265" s="113"/>
      <c r="BX265" s="113"/>
      <c r="BY265" s="113"/>
      <c r="BZ265" s="113"/>
      <c r="CA265" s="113"/>
      <c r="CB265" s="113"/>
    </row>
    <row r="266" spans="5:80" x14ac:dyDescent="0.25">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c r="AC266" s="113"/>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c r="AX266" s="113"/>
      <c r="AY266" s="113"/>
      <c r="AZ266" s="113"/>
      <c r="BA266" s="113"/>
      <c r="BB266" s="113"/>
      <c r="BC266" s="113"/>
      <c r="BD266" s="113"/>
      <c r="BE266" s="113"/>
      <c r="BF266" s="113"/>
      <c r="BG266" s="113"/>
      <c r="BH266" s="113"/>
      <c r="BI266" s="113"/>
      <c r="BJ266" s="113"/>
      <c r="BK266" s="113"/>
      <c r="BL266" s="113"/>
      <c r="BM266" s="113"/>
      <c r="BN266" s="113"/>
      <c r="BO266" s="113"/>
      <c r="BP266" s="113"/>
      <c r="BQ266" s="113"/>
      <c r="BR266" s="113"/>
      <c r="BS266" s="113"/>
      <c r="BT266" s="113"/>
      <c r="BU266" s="113"/>
      <c r="BV266" s="113"/>
      <c r="BW266" s="113"/>
      <c r="BX266" s="113"/>
      <c r="BY266" s="113"/>
      <c r="BZ266" s="113"/>
      <c r="CA266" s="113"/>
      <c r="CB266" s="113"/>
    </row>
    <row r="267" spans="5:80" x14ac:dyDescent="0.25">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c r="AC267" s="113"/>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c r="AX267" s="113"/>
      <c r="AY267" s="113"/>
      <c r="AZ267" s="113"/>
      <c r="BA267" s="113"/>
      <c r="BB267" s="113"/>
      <c r="BC267" s="113"/>
      <c r="BD267" s="113"/>
      <c r="BE267" s="113"/>
      <c r="BF267" s="113"/>
      <c r="BG267" s="113"/>
      <c r="BH267" s="113"/>
      <c r="BI267" s="113"/>
      <c r="BJ267" s="113"/>
      <c r="BK267" s="113"/>
      <c r="BL267" s="113"/>
      <c r="BM267" s="113"/>
      <c r="BN267" s="113"/>
      <c r="BO267" s="113"/>
      <c r="BP267" s="113"/>
      <c r="BQ267" s="113"/>
      <c r="BR267" s="113"/>
      <c r="BS267" s="113"/>
      <c r="BT267" s="113"/>
      <c r="BU267" s="113"/>
      <c r="BV267" s="113"/>
      <c r="BW267" s="113"/>
      <c r="BX267" s="113"/>
      <c r="BY267" s="113"/>
      <c r="BZ267" s="113"/>
      <c r="CA267" s="113"/>
      <c r="CB267" s="113"/>
    </row>
    <row r="268" spans="5:80" x14ac:dyDescent="0.25">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c r="AX268" s="113"/>
      <c r="AY268" s="113"/>
      <c r="AZ268" s="113"/>
      <c r="BA268" s="113"/>
      <c r="BB268" s="113"/>
      <c r="BC268" s="113"/>
      <c r="BD268" s="113"/>
      <c r="BE268" s="113"/>
      <c r="BF268" s="113"/>
      <c r="BG268" s="113"/>
      <c r="BH268" s="113"/>
      <c r="BI268" s="113"/>
      <c r="BJ268" s="113"/>
      <c r="BK268" s="113"/>
      <c r="BL268" s="113"/>
      <c r="BM268" s="113"/>
      <c r="BN268" s="113"/>
      <c r="BO268" s="113"/>
      <c r="BP268" s="113"/>
      <c r="BQ268" s="113"/>
      <c r="BR268" s="113"/>
      <c r="BS268" s="113"/>
      <c r="BT268" s="113"/>
      <c r="BU268" s="113"/>
      <c r="BV268" s="113"/>
      <c r="BW268" s="113"/>
      <c r="BX268" s="113"/>
      <c r="BY268" s="113"/>
      <c r="BZ268" s="113"/>
      <c r="CA268" s="113"/>
      <c r="CB268" s="113"/>
    </row>
    <row r="269" spans="5:80" x14ac:dyDescent="0.25">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c r="AX269" s="113"/>
      <c r="AY269" s="113"/>
      <c r="AZ269" s="113"/>
      <c r="BA269" s="113"/>
      <c r="BB269" s="113"/>
      <c r="BC269" s="113"/>
      <c r="BD269" s="113"/>
      <c r="BE269" s="113"/>
      <c r="BF269" s="113"/>
      <c r="BG269" s="113"/>
      <c r="BH269" s="113"/>
      <c r="BI269" s="113"/>
      <c r="BJ269" s="113"/>
      <c r="BK269" s="113"/>
      <c r="BL269" s="113"/>
      <c r="BM269" s="113"/>
      <c r="BN269" s="113"/>
      <c r="BO269" s="113"/>
      <c r="BP269" s="113"/>
      <c r="BQ269" s="113"/>
      <c r="BR269" s="113"/>
      <c r="BS269" s="113"/>
      <c r="BT269" s="113"/>
      <c r="BU269" s="113"/>
      <c r="BV269" s="113"/>
      <c r="BW269" s="113"/>
      <c r="BX269" s="113"/>
      <c r="BY269" s="113"/>
      <c r="BZ269" s="113"/>
      <c r="CA269" s="113"/>
      <c r="CB269" s="113"/>
    </row>
    <row r="270" spans="5:80" x14ac:dyDescent="0.25">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c r="AC270" s="113"/>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c r="AX270" s="113"/>
      <c r="AY270" s="113"/>
      <c r="AZ270" s="113"/>
      <c r="BA270" s="113"/>
      <c r="BB270" s="113"/>
      <c r="BC270" s="113"/>
      <c r="BD270" s="113"/>
      <c r="BE270" s="113"/>
      <c r="BF270" s="113"/>
      <c r="BG270" s="113"/>
      <c r="BH270" s="113"/>
      <c r="BI270" s="113"/>
      <c r="BJ270" s="113"/>
      <c r="BK270" s="113"/>
      <c r="BL270" s="113"/>
      <c r="BM270" s="113"/>
      <c r="BN270" s="113"/>
      <c r="BO270" s="113"/>
      <c r="BP270" s="113"/>
      <c r="BQ270" s="113"/>
      <c r="BR270" s="113"/>
      <c r="BS270" s="113"/>
      <c r="BT270" s="113"/>
      <c r="BU270" s="113"/>
      <c r="BV270" s="113"/>
      <c r="BW270" s="113"/>
      <c r="BX270" s="113"/>
      <c r="BY270" s="113"/>
      <c r="BZ270" s="113"/>
      <c r="CA270" s="113"/>
      <c r="CB270" s="113"/>
    </row>
    <row r="271" spans="5:80" x14ac:dyDescent="0.25">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c r="AC271" s="113"/>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c r="AX271" s="113"/>
      <c r="AY271" s="113"/>
      <c r="AZ271" s="113"/>
      <c r="BA271" s="113"/>
      <c r="BB271" s="113"/>
      <c r="BC271" s="113"/>
      <c r="BD271" s="113"/>
      <c r="BE271" s="113"/>
      <c r="BF271" s="113"/>
      <c r="BG271" s="113"/>
      <c r="BH271" s="113"/>
      <c r="BI271" s="113"/>
      <c r="BJ271" s="113"/>
      <c r="BK271" s="113"/>
      <c r="BL271" s="113"/>
      <c r="BM271" s="113"/>
      <c r="BN271" s="113"/>
      <c r="BO271" s="113"/>
      <c r="BP271" s="113"/>
      <c r="BQ271" s="113"/>
      <c r="BR271" s="113"/>
      <c r="BS271" s="113"/>
      <c r="BT271" s="113"/>
      <c r="BU271" s="113"/>
      <c r="BV271" s="113"/>
      <c r="BW271" s="113"/>
      <c r="BX271" s="113"/>
      <c r="BY271" s="113"/>
      <c r="BZ271" s="113"/>
      <c r="CA271" s="113"/>
      <c r="CB271" s="113"/>
    </row>
    <row r="272" spans="5:80" x14ac:dyDescent="0.25">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c r="AC272" s="113"/>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c r="AX272" s="113"/>
      <c r="AY272" s="113"/>
      <c r="AZ272" s="113"/>
      <c r="BA272" s="113"/>
      <c r="BB272" s="113"/>
      <c r="BC272" s="113"/>
      <c r="BD272" s="113"/>
      <c r="BE272" s="113"/>
      <c r="BF272" s="113"/>
      <c r="BG272" s="113"/>
      <c r="BH272" s="113"/>
      <c r="BI272" s="113"/>
      <c r="BJ272" s="113"/>
      <c r="BK272" s="113"/>
      <c r="BL272" s="113"/>
      <c r="BM272" s="113"/>
      <c r="BN272" s="113"/>
      <c r="BO272" s="113"/>
      <c r="BP272" s="113"/>
      <c r="BQ272" s="113"/>
      <c r="BR272" s="113"/>
      <c r="BS272" s="113"/>
      <c r="BT272" s="113"/>
      <c r="BU272" s="113"/>
      <c r="BV272" s="113"/>
      <c r="BW272" s="113"/>
      <c r="BX272" s="113"/>
      <c r="BY272" s="113"/>
      <c r="BZ272" s="113"/>
      <c r="CA272" s="113"/>
      <c r="CB272" s="113"/>
    </row>
    <row r="273" spans="5:80" x14ac:dyDescent="0.25">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c r="AC273" s="113"/>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c r="AX273" s="113"/>
      <c r="AY273" s="113"/>
      <c r="AZ273" s="113"/>
      <c r="BA273" s="113"/>
      <c r="BB273" s="113"/>
      <c r="BC273" s="113"/>
      <c r="BD273" s="113"/>
      <c r="BE273" s="113"/>
      <c r="BF273" s="113"/>
      <c r="BG273" s="113"/>
      <c r="BH273" s="113"/>
      <c r="BI273" s="113"/>
      <c r="BJ273" s="113"/>
      <c r="BK273" s="113"/>
      <c r="BL273" s="113"/>
      <c r="BM273" s="113"/>
      <c r="BN273" s="113"/>
      <c r="BO273" s="113"/>
      <c r="BP273" s="113"/>
      <c r="BQ273" s="113"/>
      <c r="BR273" s="113"/>
      <c r="BS273" s="113"/>
      <c r="BT273" s="113"/>
      <c r="BU273" s="113"/>
      <c r="BV273" s="113"/>
      <c r="BW273" s="113"/>
      <c r="BX273" s="113"/>
      <c r="BY273" s="113"/>
      <c r="BZ273" s="113"/>
      <c r="CA273" s="113"/>
      <c r="CB273" s="113"/>
    </row>
    <row r="274" spans="5:80" x14ac:dyDescent="0.25">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c r="AC274" s="113"/>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c r="AX274" s="113"/>
      <c r="AY274" s="113"/>
      <c r="AZ274" s="113"/>
      <c r="BA274" s="113"/>
      <c r="BB274" s="113"/>
      <c r="BC274" s="113"/>
      <c r="BD274" s="113"/>
      <c r="BE274" s="113"/>
      <c r="BF274" s="113"/>
      <c r="BG274" s="113"/>
      <c r="BH274" s="113"/>
      <c r="BI274" s="113"/>
      <c r="BJ274" s="113"/>
      <c r="BK274" s="113"/>
      <c r="BL274" s="113"/>
      <c r="BM274" s="113"/>
      <c r="BN274" s="113"/>
      <c r="BO274" s="113"/>
      <c r="BP274" s="113"/>
      <c r="BQ274" s="113"/>
      <c r="BR274" s="113"/>
      <c r="BS274" s="113"/>
      <c r="BT274" s="113"/>
      <c r="BU274" s="113"/>
      <c r="BV274" s="113"/>
      <c r="BW274" s="113"/>
      <c r="BX274" s="113"/>
      <c r="BY274" s="113"/>
      <c r="BZ274" s="113"/>
      <c r="CA274" s="113"/>
      <c r="CB274" s="113"/>
    </row>
    <row r="275" spans="5:80" x14ac:dyDescent="0.25">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c r="AC275" s="113"/>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c r="AX275" s="113"/>
      <c r="AY275" s="113"/>
      <c r="AZ275" s="113"/>
      <c r="BA275" s="113"/>
      <c r="BB275" s="113"/>
      <c r="BC275" s="113"/>
      <c r="BD275" s="113"/>
      <c r="BE275" s="113"/>
      <c r="BF275" s="113"/>
      <c r="BG275" s="113"/>
      <c r="BH275" s="113"/>
      <c r="BI275" s="113"/>
      <c r="BJ275" s="113"/>
      <c r="BK275" s="113"/>
      <c r="BL275" s="113"/>
      <c r="BM275" s="113"/>
      <c r="BN275" s="113"/>
      <c r="BO275" s="113"/>
      <c r="BP275" s="113"/>
      <c r="BQ275" s="113"/>
      <c r="BR275" s="113"/>
      <c r="BS275" s="113"/>
      <c r="BT275" s="113"/>
      <c r="BU275" s="113"/>
      <c r="BV275" s="113"/>
      <c r="BW275" s="113"/>
      <c r="BX275" s="113"/>
      <c r="BY275" s="113"/>
      <c r="BZ275" s="113"/>
      <c r="CA275" s="113"/>
      <c r="CB275" s="113"/>
    </row>
    <row r="276" spans="5:80" x14ac:dyDescent="0.25">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c r="AC276" s="113"/>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c r="AX276" s="113"/>
      <c r="AY276" s="113"/>
      <c r="AZ276" s="113"/>
      <c r="BA276" s="113"/>
      <c r="BB276" s="113"/>
      <c r="BC276" s="113"/>
      <c r="BD276" s="113"/>
      <c r="BE276" s="113"/>
      <c r="BF276" s="113"/>
      <c r="BG276" s="113"/>
      <c r="BH276" s="113"/>
      <c r="BI276" s="113"/>
      <c r="BJ276" s="113"/>
      <c r="BK276" s="113"/>
      <c r="BL276" s="113"/>
      <c r="BM276" s="113"/>
      <c r="BN276" s="113"/>
      <c r="BO276" s="113"/>
      <c r="BP276" s="113"/>
      <c r="BQ276" s="113"/>
      <c r="BR276" s="113"/>
      <c r="BS276" s="113"/>
      <c r="BT276" s="113"/>
      <c r="BU276" s="113"/>
      <c r="BV276" s="113"/>
      <c r="BW276" s="113"/>
      <c r="BX276" s="113"/>
      <c r="BY276" s="113"/>
      <c r="BZ276" s="113"/>
      <c r="CA276" s="113"/>
      <c r="CB276" s="113"/>
    </row>
    <row r="277" spans="5:80" x14ac:dyDescent="0.25">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c r="AC277" s="113"/>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c r="AX277" s="113"/>
      <c r="AY277" s="113"/>
      <c r="AZ277" s="113"/>
      <c r="BA277" s="113"/>
      <c r="BB277" s="113"/>
      <c r="BC277" s="113"/>
      <c r="BD277" s="113"/>
      <c r="BE277" s="113"/>
      <c r="BF277" s="113"/>
      <c r="BG277" s="113"/>
      <c r="BH277" s="113"/>
      <c r="BI277" s="113"/>
      <c r="BJ277" s="113"/>
      <c r="BK277" s="113"/>
      <c r="BL277" s="113"/>
      <c r="BM277" s="113"/>
      <c r="BN277" s="113"/>
      <c r="BO277" s="113"/>
      <c r="BP277" s="113"/>
      <c r="BQ277" s="113"/>
      <c r="BR277" s="113"/>
      <c r="BS277" s="113"/>
      <c r="BT277" s="113"/>
      <c r="BU277" s="113"/>
      <c r="BV277" s="113"/>
      <c r="BW277" s="113"/>
      <c r="BX277" s="113"/>
      <c r="BY277" s="113"/>
      <c r="BZ277" s="113"/>
      <c r="CA277" s="113"/>
      <c r="CB277" s="113"/>
    </row>
    <row r="278" spans="5:80" x14ac:dyDescent="0.25">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3"/>
      <c r="AY278" s="113"/>
      <c r="AZ278" s="113"/>
      <c r="BA278" s="113"/>
      <c r="BB278" s="113"/>
      <c r="BC278" s="113"/>
      <c r="BD278" s="113"/>
      <c r="BE278" s="113"/>
      <c r="BF278" s="113"/>
      <c r="BG278" s="113"/>
      <c r="BH278" s="113"/>
      <c r="BI278" s="113"/>
      <c r="BJ278" s="113"/>
      <c r="BK278" s="113"/>
      <c r="BL278" s="113"/>
      <c r="BM278" s="113"/>
      <c r="BN278" s="113"/>
      <c r="BO278" s="113"/>
      <c r="BP278" s="113"/>
      <c r="BQ278" s="113"/>
      <c r="BR278" s="113"/>
      <c r="BS278" s="113"/>
      <c r="BT278" s="113"/>
      <c r="BU278" s="113"/>
      <c r="BV278" s="113"/>
      <c r="BW278" s="113"/>
      <c r="BX278" s="113"/>
      <c r="BY278" s="113"/>
      <c r="BZ278" s="113"/>
      <c r="CA278" s="113"/>
      <c r="CB278" s="113"/>
    </row>
    <row r="279" spans="5:80" x14ac:dyDescent="0.25">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3"/>
      <c r="AY279" s="113"/>
      <c r="AZ279" s="113"/>
      <c r="BA279" s="113"/>
      <c r="BB279" s="113"/>
      <c r="BC279" s="113"/>
      <c r="BD279" s="113"/>
      <c r="BE279" s="113"/>
      <c r="BF279" s="113"/>
      <c r="BG279" s="113"/>
      <c r="BH279" s="113"/>
      <c r="BI279" s="113"/>
      <c r="BJ279" s="113"/>
      <c r="BK279" s="113"/>
      <c r="BL279" s="113"/>
      <c r="BM279" s="113"/>
      <c r="BN279" s="113"/>
      <c r="BO279" s="113"/>
      <c r="BP279" s="113"/>
      <c r="BQ279" s="113"/>
      <c r="BR279" s="113"/>
      <c r="BS279" s="113"/>
      <c r="BT279" s="113"/>
      <c r="BU279" s="113"/>
      <c r="BV279" s="113"/>
      <c r="BW279" s="113"/>
      <c r="BX279" s="113"/>
      <c r="BY279" s="113"/>
      <c r="BZ279" s="113"/>
      <c r="CA279" s="113"/>
      <c r="CB279" s="113"/>
    </row>
    <row r="280" spans="5:80" x14ac:dyDescent="0.25">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c r="AC280" s="113"/>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c r="AX280" s="113"/>
      <c r="AY280" s="113"/>
      <c r="AZ280" s="113"/>
      <c r="BA280" s="113"/>
      <c r="BB280" s="113"/>
      <c r="BC280" s="113"/>
      <c r="BD280" s="113"/>
      <c r="BE280" s="113"/>
      <c r="BF280" s="113"/>
      <c r="BG280" s="113"/>
      <c r="BH280" s="113"/>
      <c r="BI280" s="113"/>
      <c r="BJ280" s="113"/>
      <c r="BK280" s="113"/>
      <c r="BL280" s="113"/>
      <c r="BM280" s="113"/>
      <c r="BN280" s="113"/>
      <c r="BO280" s="113"/>
      <c r="BP280" s="113"/>
      <c r="BQ280" s="113"/>
      <c r="BR280" s="113"/>
      <c r="BS280" s="113"/>
      <c r="BT280" s="113"/>
      <c r="BU280" s="113"/>
      <c r="BV280" s="113"/>
      <c r="BW280" s="113"/>
      <c r="BX280" s="113"/>
      <c r="BY280" s="113"/>
      <c r="BZ280" s="113"/>
      <c r="CA280" s="113"/>
      <c r="CB280" s="113"/>
    </row>
    <row r="281" spans="5:80" x14ac:dyDescent="0.25">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c r="AC281" s="113"/>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c r="AX281" s="113"/>
      <c r="AY281" s="113"/>
      <c r="AZ281" s="113"/>
      <c r="BA281" s="113"/>
      <c r="BB281" s="113"/>
      <c r="BC281" s="113"/>
      <c r="BD281" s="113"/>
      <c r="BE281" s="113"/>
      <c r="BF281" s="113"/>
      <c r="BG281" s="113"/>
      <c r="BH281" s="113"/>
      <c r="BI281" s="113"/>
      <c r="BJ281" s="113"/>
      <c r="BK281" s="113"/>
      <c r="BL281" s="113"/>
      <c r="BM281" s="113"/>
      <c r="BN281" s="113"/>
      <c r="BO281" s="113"/>
      <c r="BP281" s="113"/>
      <c r="BQ281" s="113"/>
      <c r="BR281" s="113"/>
      <c r="BS281" s="113"/>
      <c r="BT281" s="113"/>
      <c r="BU281" s="113"/>
      <c r="BV281" s="113"/>
      <c r="BW281" s="113"/>
      <c r="BX281" s="113"/>
      <c r="BY281" s="113"/>
      <c r="BZ281" s="113"/>
      <c r="CA281" s="113"/>
      <c r="CB281" s="113"/>
    </row>
    <row r="282" spans="5:80" x14ac:dyDescent="0.25">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c r="AC282" s="113"/>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c r="AX282" s="113"/>
      <c r="AY282" s="113"/>
      <c r="AZ282" s="113"/>
      <c r="BA282" s="113"/>
      <c r="BB282" s="113"/>
      <c r="BC282" s="113"/>
      <c r="BD282" s="113"/>
      <c r="BE282" s="113"/>
      <c r="BF282" s="113"/>
      <c r="BG282" s="113"/>
      <c r="BH282" s="113"/>
      <c r="BI282" s="113"/>
      <c r="BJ282" s="113"/>
      <c r="BK282" s="113"/>
      <c r="BL282" s="113"/>
      <c r="BM282" s="113"/>
      <c r="BN282" s="113"/>
      <c r="BO282" s="113"/>
      <c r="BP282" s="113"/>
      <c r="BQ282" s="113"/>
      <c r="BR282" s="113"/>
      <c r="BS282" s="113"/>
      <c r="BT282" s="113"/>
      <c r="BU282" s="113"/>
      <c r="BV282" s="113"/>
      <c r="BW282" s="113"/>
      <c r="BX282" s="113"/>
      <c r="BY282" s="113"/>
      <c r="BZ282" s="113"/>
      <c r="CA282" s="113"/>
      <c r="CB282" s="113"/>
    </row>
    <row r="283" spans="5:80" x14ac:dyDescent="0.25">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c r="AC283" s="113"/>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c r="AX283" s="113"/>
      <c r="AY283" s="113"/>
      <c r="AZ283" s="113"/>
      <c r="BA283" s="113"/>
      <c r="BB283" s="113"/>
      <c r="BC283" s="113"/>
      <c r="BD283" s="113"/>
      <c r="BE283" s="113"/>
      <c r="BF283" s="113"/>
      <c r="BG283" s="113"/>
      <c r="BH283" s="113"/>
      <c r="BI283" s="113"/>
      <c r="BJ283" s="113"/>
      <c r="BK283" s="113"/>
      <c r="BL283" s="113"/>
      <c r="BM283" s="113"/>
      <c r="BN283" s="113"/>
      <c r="BO283" s="113"/>
      <c r="BP283" s="113"/>
      <c r="BQ283" s="113"/>
      <c r="BR283" s="113"/>
      <c r="BS283" s="113"/>
      <c r="BT283" s="113"/>
      <c r="BU283" s="113"/>
      <c r="BV283" s="113"/>
      <c r="BW283" s="113"/>
      <c r="BX283" s="113"/>
      <c r="BY283" s="113"/>
      <c r="BZ283" s="113"/>
      <c r="CA283" s="113"/>
      <c r="CB283" s="113"/>
    </row>
    <row r="284" spans="5:80" x14ac:dyDescent="0.25">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3"/>
      <c r="AY284" s="113"/>
      <c r="AZ284" s="113"/>
      <c r="BA284" s="113"/>
      <c r="BB284" s="113"/>
      <c r="BC284" s="113"/>
      <c r="BD284" s="113"/>
      <c r="BE284" s="113"/>
      <c r="BF284" s="113"/>
      <c r="BG284" s="113"/>
      <c r="BH284" s="113"/>
      <c r="BI284" s="113"/>
      <c r="BJ284" s="113"/>
      <c r="BK284" s="113"/>
      <c r="BL284" s="113"/>
      <c r="BM284" s="113"/>
      <c r="BN284" s="113"/>
      <c r="BO284" s="113"/>
      <c r="BP284" s="113"/>
      <c r="BQ284" s="113"/>
      <c r="BR284" s="113"/>
      <c r="BS284" s="113"/>
      <c r="BT284" s="113"/>
      <c r="BU284" s="113"/>
      <c r="BV284" s="113"/>
      <c r="BW284" s="113"/>
      <c r="BX284" s="113"/>
      <c r="BY284" s="113"/>
      <c r="BZ284" s="113"/>
      <c r="CA284" s="113"/>
      <c r="CB284" s="113"/>
    </row>
    <row r="285" spans="5:80" x14ac:dyDescent="0.25">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c r="AC285" s="113"/>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c r="AX285" s="113"/>
      <c r="AY285" s="113"/>
      <c r="AZ285" s="113"/>
      <c r="BA285" s="113"/>
      <c r="BB285" s="113"/>
      <c r="BC285" s="113"/>
      <c r="BD285" s="113"/>
      <c r="BE285" s="113"/>
      <c r="BF285" s="113"/>
      <c r="BG285" s="113"/>
      <c r="BH285" s="113"/>
      <c r="BI285" s="113"/>
      <c r="BJ285" s="113"/>
      <c r="BK285" s="113"/>
      <c r="BL285" s="113"/>
      <c r="BM285" s="113"/>
      <c r="BN285" s="113"/>
      <c r="BO285" s="113"/>
      <c r="BP285" s="113"/>
      <c r="BQ285" s="113"/>
      <c r="BR285" s="113"/>
      <c r="BS285" s="113"/>
      <c r="BT285" s="113"/>
      <c r="BU285" s="113"/>
      <c r="BV285" s="113"/>
      <c r="BW285" s="113"/>
      <c r="BX285" s="113"/>
      <c r="BY285" s="113"/>
      <c r="BZ285" s="113"/>
      <c r="CA285" s="113"/>
      <c r="CB285" s="113"/>
    </row>
    <row r="286" spans="5:80" x14ac:dyDescent="0.25">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c r="AC286" s="113"/>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c r="AX286" s="113"/>
      <c r="AY286" s="113"/>
      <c r="AZ286" s="113"/>
      <c r="BA286" s="113"/>
      <c r="BB286" s="113"/>
      <c r="BC286" s="113"/>
      <c r="BD286" s="113"/>
      <c r="BE286" s="113"/>
      <c r="BF286" s="113"/>
      <c r="BG286" s="113"/>
      <c r="BH286" s="113"/>
      <c r="BI286" s="113"/>
      <c r="BJ286" s="113"/>
      <c r="BK286" s="113"/>
      <c r="BL286" s="113"/>
      <c r="BM286" s="113"/>
      <c r="BN286" s="113"/>
      <c r="BO286" s="113"/>
      <c r="BP286" s="113"/>
      <c r="BQ286" s="113"/>
      <c r="BR286" s="113"/>
      <c r="BS286" s="113"/>
      <c r="BT286" s="113"/>
      <c r="BU286" s="113"/>
      <c r="BV286" s="113"/>
      <c r="BW286" s="113"/>
      <c r="BX286" s="113"/>
      <c r="BY286" s="113"/>
      <c r="BZ286" s="113"/>
      <c r="CA286" s="113"/>
      <c r="CB286" s="113"/>
    </row>
    <row r="287" spans="5:80" x14ac:dyDescent="0.25">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c r="AC287" s="113"/>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c r="AX287" s="113"/>
      <c r="AY287" s="113"/>
      <c r="AZ287" s="113"/>
      <c r="BA287" s="113"/>
      <c r="BB287" s="113"/>
      <c r="BC287" s="113"/>
      <c r="BD287" s="113"/>
      <c r="BE287" s="113"/>
      <c r="BF287" s="113"/>
      <c r="BG287" s="113"/>
      <c r="BH287" s="113"/>
      <c r="BI287" s="113"/>
      <c r="BJ287" s="113"/>
      <c r="BK287" s="113"/>
      <c r="BL287" s="113"/>
      <c r="BM287" s="113"/>
      <c r="BN287" s="113"/>
      <c r="BO287" s="113"/>
      <c r="BP287" s="113"/>
      <c r="BQ287" s="113"/>
      <c r="BR287" s="113"/>
      <c r="BS287" s="113"/>
      <c r="BT287" s="113"/>
      <c r="BU287" s="113"/>
      <c r="BV287" s="113"/>
      <c r="BW287" s="113"/>
      <c r="BX287" s="113"/>
      <c r="BY287" s="113"/>
      <c r="BZ287" s="113"/>
      <c r="CA287" s="113"/>
      <c r="CB287" s="113"/>
    </row>
    <row r="288" spans="5:80" x14ac:dyDescent="0.25">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3"/>
      <c r="AY288" s="113"/>
      <c r="AZ288" s="113"/>
      <c r="BA288" s="113"/>
      <c r="BB288" s="113"/>
      <c r="BC288" s="113"/>
      <c r="BD288" s="113"/>
      <c r="BE288" s="113"/>
      <c r="BF288" s="113"/>
      <c r="BG288" s="113"/>
      <c r="BH288" s="113"/>
      <c r="BI288" s="113"/>
      <c r="BJ288" s="113"/>
      <c r="BK288" s="113"/>
      <c r="BL288" s="113"/>
      <c r="BM288" s="113"/>
      <c r="BN288" s="113"/>
      <c r="BO288" s="113"/>
      <c r="BP288" s="113"/>
      <c r="BQ288" s="113"/>
      <c r="BR288" s="113"/>
      <c r="BS288" s="113"/>
      <c r="BT288" s="113"/>
      <c r="BU288" s="113"/>
      <c r="BV288" s="113"/>
      <c r="BW288" s="113"/>
      <c r="BX288" s="113"/>
      <c r="BY288" s="113"/>
      <c r="BZ288" s="113"/>
      <c r="CA288" s="113"/>
      <c r="CB288" s="113"/>
    </row>
    <row r="289" spans="5:80" x14ac:dyDescent="0.25">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c r="AC289" s="113"/>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c r="AX289" s="113"/>
      <c r="AY289" s="113"/>
      <c r="AZ289" s="113"/>
      <c r="BA289" s="113"/>
      <c r="BB289" s="113"/>
      <c r="BC289" s="113"/>
      <c r="BD289" s="113"/>
      <c r="BE289" s="113"/>
      <c r="BF289" s="113"/>
      <c r="BG289" s="113"/>
      <c r="BH289" s="113"/>
      <c r="BI289" s="113"/>
      <c r="BJ289" s="113"/>
      <c r="BK289" s="113"/>
      <c r="BL289" s="113"/>
      <c r="BM289" s="113"/>
      <c r="BN289" s="113"/>
      <c r="BO289" s="113"/>
      <c r="BP289" s="113"/>
      <c r="BQ289" s="113"/>
      <c r="BR289" s="113"/>
      <c r="BS289" s="113"/>
      <c r="BT289" s="113"/>
      <c r="BU289" s="113"/>
      <c r="BV289" s="113"/>
      <c r="BW289" s="113"/>
      <c r="BX289" s="113"/>
      <c r="BY289" s="113"/>
      <c r="BZ289" s="113"/>
      <c r="CA289" s="113"/>
      <c r="CB289" s="113"/>
    </row>
    <row r="290" spans="5:80" x14ac:dyDescent="0.25">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c r="AC290" s="113"/>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c r="AX290" s="113"/>
      <c r="AY290" s="113"/>
      <c r="AZ290" s="113"/>
      <c r="BA290" s="113"/>
      <c r="BB290" s="113"/>
      <c r="BC290" s="113"/>
      <c r="BD290" s="113"/>
      <c r="BE290" s="113"/>
      <c r="BF290" s="113"/>
      <c r="BG290" s="113"/>
      <c r="BH290" s="113"/>
      <c r="BI290" s="113"/>
      <c r="BJ290" s="113"/>
      <c r="BK290" s="113"/>
      <c r="BL290" s="113"/>
      <c r="BM290" s="113"/>
      <c r="BN290" s="113"/>
      <c r="BO290" s="113"/>
      <c r="BP290" s="113"/>
      <c r="BQ290" s="113"/>
      <c r="BR290" s="113"/>
      <c r="BS290" s="113"/>
      <c r="BT290" s="113"/>
      <c r="BU290" s="113"/>
      <c r="BV290" s="113"/>
      <c r="BW290" s="113"/>
      <c r="BX290" s="113"/>
      <c r="BY290" s="113"/>
      <c r="BZ290" s="113"/>
      <c r="CA290" s="113"/>
      <c r="CB290" s="113"/>
    </row>
    <row r="291" spans="5:80" x14ac:dyDescent="0.25">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c r="AC291" s="113"/>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c r="AX291" s="113"/>
      <c r="AY291" s="113"/>
      <c r="AZ291" s="113"/>
      <c r="BA291" s="113"/>
      <c r="BB291" s="113"/>
      <c r="BC291" s="113"/>
      <c r="BD291" s="113"/>
      <c r="BE291" s="113"/>
      <c r="BF291" s="113"/>
      <c r="BG291" s="113"/>
      <c r="BH291" s="113"/>
      <c r="BI291" s="113"/>
      <c r="BJ291" s="113"/>
      <c r="BK291" s="113"/>
      <c r="BL291" s="113"/>
      <c r="BM291" s="113"/>
      <c r="BN291" s="113"/>
      <c r="BO291" s="113"/>
      <c r="BP291" s="113"/>
      <c r="BQ291" s="113"/>
      <c r="BR291" s="113"/>
      <c r="BS291" s="113"/>
      <c r="BT291" s="113"/>
      <c r="BU291" s="113"/>
      <c r="BV291" s="113"/>
      <c r="BW291" s="113"/>
      <c r="BX291" s="113"/>
      <c r="BY291" s="113"/>
      <c r="BZ291" s="113"/>
      <c r="CA291" s="113"/>
      <c r="CB291" s="113"/>
    </row>
    <row r="292" spans="5:80" x14ac:dyDescent="0.25">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c r="AC292" s="113"/>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c r="AX292" s="113"/>
      <c r="AY292" s="113"/>
      <c r="AZ292" s="113"/>
      <c r="BA292" s="113"/>
      <c r="BB292" s="113"/>
      <c r="BC292" s="113"/>
      <c r="BD292" s="113"/>
      <c r="BE292" s="113"/>
      <c r="BF292" s="113"/>
      <c r="BG292" s="113"/>
      <c r="BH292" s="113"/>
      <c r="BI292" s="113"/>
      <c r="BJ292" s="113"/>
      <c r="BK292" s="113"/>
      <c r="BL292" s="113"/>
      <c r="BM292" s="113"/>
      <c r="BN292" s="113"/>
      <c r="BO292" s="113"/>
      <c r="BP292" s="113"/>
      <c r="BQ292" s="113"/>
      <c r="BR292" s="113"/>
      <c r="BS292" s="113"/>
      <c r="BT292" s="113"/>
      <c r="BU292" s="113"/>
      <c r="BV292" s="113"/>
      <c r="BW292" s="113"/>
      <c r="BX292" s="113"/>
      <c r="BY292" s="113"/>
      <c r="BZ292" s="113"/>
      <c r="CA292" s="113"/>
      <c r="CB292" s="113"/>
    </row>
    <row r="293" spans="5:80" x14ac:dyDescent="0.25">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c r="AC293" s="113"/>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c r="AX293" s="113"/>
      <c r="AY293" s="113"/>
      <c r="AZ293" s="113"/>
      <c r="BA293" s="113"/>
      <c r="BB293" s="113"/>
      <c r="BC293" s="113"/>
      <c r="BD293" s="113"/>
      <c r="BE293" s="113"/>
      <c r="BF293" s="113"/>
      <c r="BG293" s="113"/>
      <c r="BH293" s="113"/>
      <c r="BI293" s="113"/>
      <c r="BJ293" s="113"/>
      <c r="BK293" s="113"/>
      <c r="BL293" s="113"/>
      <c r="BM293" s="113"/>
      <c r="BN293" s="113"/>
      <c r="BO293" s="113"/>
      <c r="BP293" s="113"/>
      <c r="BQ293" s="113"/>
      <c r="BR293" s="113"/>
      <c r="BS293" s="113"/>
      <c r="BT293" s="113"/>
      <c r="BU293" s="113"/>
      <c r="BV293" s="113"/>
      <c r="BW293" s="113"/>
      <c r="BX293" s="113"/>
      <c r="BY293" s="113"/>
      <c r="BZ293" s="113"/>
      <c r="CA293" s="113"/>
      <c r="CB293" s="113"/>
    </row>
    <row r="294" spans="5:80" x14ac:dyDescent="0.25">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c r="AC294" s="113"/>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c r="AX294" s="113"/>
      <c r="AY294" s="113"/>
      <c r="AZ294" s="113"/>
      <c r="BA294" s="113"/>
      <c r="BB294" s="113"/>
      <c r="BC294" s="113"/>
      <c r="BD294" s="113"/>
      <c r="BE294" s="113"/>
      <c r="BF294" s="113"/>
      <c r="BG294" s="113"/>
      <c r="BH294" s="113"/>
      <c r="BI294" s="113"/>
      <c r="BJ294" s="113"/>
      <c r="BK294" s="113"/>
      <c r="BL294" s="113"/>
      <c r="BM294" s="113"/>
      <c r="BN294" s="113"/>
      <c r="BO294" s="113"/>
      <c r="BP294" s="113"/>
      <c r="BQ294" s="113"/>
      <c r="BR294" s="113"/>
      <c r="BS294" s="113"/>
      <c r="BT294" s="113"/>
      <c r="BU294" s="113"/>
      <c r="BV294" s="113"/>
      <c r="BW294" s="113"/>
      <c r="BX294" s="113"/>
      <c r="BY294" s="113"/>
      <c r="BZ294" s="113"/>
      <c r="CA294" s="113"/>
      <c r="CB294" s="113"/>
    </row>
    <row r="295" spans="5:80" x14ac:dyDescent="0.25">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c r="AC295" s="113"/>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c r="AX295" s="113"/>
      <c r="AY295" s="113"/>
      <c r="AZ295" s="113"/>
      <c r="BA295" s="113"/>
      <c r="BB295" s="113"/>
      <c r="BC295" s="113"/>
      <c r="BD295" s="113"/>
      <c r="BE295" s="113"/>
      <c r="BF295" s="113"/>
      <c r="BG295" s="113"/>
      <c r="BH295" s="113"/>
      <c r="BI295" s="113"/>
      <c r="BJ295" s="113"/>
      <c r="BK295" s="113"/>
      <c r="BL295" s="113"/>
      <c r="BM295" s="113"/>
      <c r="BN295" s="113"/>
      <c r="BO295" s="113"/>
      <c r="BP295" s="113"/>
      <c r="BQ295" s="113"/>
      <c r="BR295" s="113"/>
      <c r="BS295" s="113"/>
      <c r="BT295" s="113"/>
      <c r="BU295" s="113"/>
      <c r="BV295" s="113"/>
      <c r="BW295" s="113"/>
      <c r="BX295" s="113"/>
      <c r="BY295" s="113"/>
      <c r="BZ295" s="113"/>
      <c r="CA295" s="113"/>
      <c r="CB295" s="113"/>
    </row>
    <row r="296" spans="5:80" x14ac:dyDescent="0.25">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c r="AC296" s="113"/>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c r="AX296" s="113"/>
      <c r="AY296" s="113"/>
      <c r="AZ296" s="113"/>
      <c r="BA296" s="113"/>
      <c r="BB296" s="113"/>
      <c r="BC296" s="113"/>
      <c r="BD296" s="113"/>
      <c r="BE296" s="113"/>
      <c r="BF296" s="113"/>
      <c r="BG296" s="113"/>
      <c r="BH296" s="113"/>
      <c r="BI296" s="113"/>
      <c r="BJ296" s="113"/>
      <c r="BK296" s="113"/>
      <c r="BL296" s="113"/>
      <c r="BM296" s="113"/>
      <c r="BN296" s="113"/>
      <c r="BO296" s="113"/>
      <c r="BP296" s="113"/>
      <c r="BQ296" s="113"/>
      <c r="BR296" s="113"/>
      <c r="BS296" s="113"/>
      <c r="BT296" s="113"/>
      <c r="BU296" s="113"/>
      <c r="BV296" s="113"/>
      <c r="BW296" s="113"/>
      <c r="BX296" s="113"/>
      <c r="BY296" s="113"/>
      <c r="BZ296" s="113"/>
      <c r="CA296" s="113"/>
      <c r="CB296" s="113"/>
    </row>
    <row r="297" spans="5:80" x14ac:dyDescent="0.25">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c r="AC297" s="113"/>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c r="AX297" s="113"/>
      <c r="AY297" s="113"/>
      <c r="AZ297" s="113"/>
      <c r="BA297" s="113"/>
      <c r="BB297" s="113"/>
      <c r="BC297" s="113"/>
      <c r="BD297" s="113"/>
      <c r="BE297" s="113"/>
      <c r="BF297" s="113"/>
      <c r="BG297" s="113"/>
      <c r="BH297" s="113"/>
      <c r="BI297" s="113"/>
      <c r="BJ297" s="113"/>
      <c r="BK297" s="113"/>
      <c r="BL297" s="113"/>
      <c r="BM297" s="113"/>
      <c r="BN297" s="113"/>
      <c r="BO297" s="113"/>
      <c r="BP297" s="113"/>
      <c r="BQ297" s="113"/>
      <c r="BR297" s="113"/>
      <c r="BS297" s="113"/>
      <c r="BT297" s="113"/>
      <c r="BU297" s="113"/>
      <c r="BV297" s="113"/>
      <c r="BW297" s="113"/>
      <c r="BX297" s="113"/>
      <c r="BY297" s="113"/>
      <c r="BZ297" s="113"/>
      <c r="CA297" s="113"/>
      <c r="CB297" s="113"/>
    </row>
    <row r="298" spans="5:80" x14ac:dyDescent="0.25">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c r="AC298" s="113"/>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c r="AX298" s="113"/>
      <c r="AY298" s="113"/>
      <c r="AZ298" s="113"/>
      <c r="BA298" s="113"/>
      <c r="BB298" s="113"/>
      <c r="BC298" s="113"/>
      <c r="BD298" s="113"/>
      <c r="BE298" s="113"/>
      <c r="BF298" s="113"/>
      <c r="BG298" s="113"/>
      <c r="BH298" s="113"/>
      <c r="BI298" s="113"/>
      <c r="BJ298" s="113"/>
      <c r="BK298" s="113"/>
      <c r="BL298" s="113"/>
      <c r="BM298" s="113"/>
      <c r="BN298" s="113"/>
      <c r="BO298" s="113"/>
      <c r="BP298" s="113"/>
      <c r="BQ298" s="113"/>
      <c r="BR298" s="113"/>
      <c r="BS298" s="113"/>
      <c r="BT298" s="113"/>
      <c r="BU298" s="113"/>
      <c r="BV298" s="113"/>
      <c r="BW298" s="113"/>
      <c r="BX298" s="113"/>
      <c r="BY298" s="113"/>
      <c r="BZ298" s="113"/>
      <c r="CA298" s="113"/>
      <c r="CB298" s="113"/>
    </row>
    <row r="299" spans="5:80" x14ac:dyDescent="0.25">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c r="AC299" s="113"/>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c r="AX299" s="113"/>
      <c r="AY299" s="113"/>
      <c r="AZ299" s="113"/>
      <c r="BA299" s="113"/>
      <c r="BB299" s="113"/>
      <c r="BC299" s="113"/>
      <c r="BD299" s="113"/>
      <c r="BE299" s="113"/>
      <c r="BF299" s="113"/>
      <c r="BG299" s="113"/>
      <c r="BH299" s="113"/>
      <c r="BI299" s="113"/>
      <c r="BJ299" s="113"/>
      <c r="BK299" s="113"/>
      <c r="BL299" s="113"/>
      <c r="BM299" s="113"/>
      <c r="BN299" s="113"/>
      <c r="BO299" s="113"/>
      <c r="BP299" s="113"/>
      <c r="BQ299" s="113"/>
      <c r="BR299" s="113"/>
      <c r="BS299" s="113"/>
      <c r="BT299" s="113"/>
      <c r="BU299" s="113"/>
      <c r="BV299" s="113"/>
      <c r="BW299" s="113"/>
      <c r="BX299" s="113"/>
      <c r="BY299" s="113"/>
      <c r="BZ299" s="113"/>
      <c r="CA299" s="113"/>
      <c r="CB299" s="113"/>
    </row>
    <row r="300" spans="5:80" x14ac:dyDescent="0.25">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c r="AC300" s="113"/>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c r="AX300" s="113"/>
      <c r="AY300" s="113"/>
      <c r="AZ300" s="113"/>
      <c r="BA300" s="113"/>
      <c r="BB300" s="113"/>
      <c r="BC300" s="113"/>
      <c r="BD300" s="113"/>
      <c r="BE300" s="113"/>
      <c r="BF300" s="113"/>
      <c r="BG300" s="113"/>
      <c r="BH300" s="113"/>
      <c r="BI300" s="113"/>
      <c r="BJ300" s="113"/>
      <c r="BK300" s="113"/>
      <c r="BL300" s="113"/>
      <c r="BM300" s="113"/>
      <c r="BN300" s="113"/>
      <c r="BO300" s="113"/>
      <c r="BP300" s="113"/>
      <c r="BQ300" s="113"/>
      <c r="BR300" s="113"/>
      <c r="BS300" s="113"/>
      <c r="BT300" s="113"/>
      <c r="BU300" s="113"/>
      <c r="BV300" s="113"/>
      <c r="BW300" s="113"/>
      <c r="BX300" s="113"/>
      <c r="BY300" s="113"/>
      <c r="BZ300" s="113"/>
      <c r="CA300" s="113"/>
      <c r="CB300" s="113"/>
    </row>
    <row r="301" spans="5:80" x14ac:dyDescent="0.25">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c r="AC301" s="113"/>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c r="AX301" s="113"/>
      <c r="AY301" s="113"/>
      <c r="AZ301" s="113"/>
      <c r="BA301" s="113"/>
      <c r="BB301" s="113"/>
      <c r="BC301" s="113"/>
      <c r="BD301" s="113"/>
      <c r="BE301" s="113"/>
      <c r="BF301" s="113"/>
      <c r="BG301" s="113"/>
      <c r="BH301" s="113"/>
      <c r="BI301" s="113"/>
      <c r="BJ301" s="113"/>
      <c r="BK301" s="113"/>
      <c r="BL301" s="113"/>
      <c r="BM301" s="113"/>
      <c r="BN301" s="113"/>
      <c r="BO301" s="113"/>
      <c r="BP301" s="113"/>
      <c r="BQ301" s="113"/>
      <c r="BR301" s="113"/>
      <c r="BS301" s="113"/>
      <c r="BT301" s="113"/>
      <c r="BU301" s="113"/>
      <c r="BV301" s="113"/>
      <c r="BW301" s="113"/>
      <c r="BX301" s="113"/>
      <c r="BY301" s="113"/>
      <c r="BZ301" s="113"/>
      <c r="CA301" s="113"/>
      <c r="CB301" s="113"/>
    </row>
    <row r="302" spans="5:80" x14ac:dyDescent="0.25">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c r="AC302" s="113"/>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c r="AX302" s="113"/>
      <c r="AY302" s="113"/>
      <c r="AZ302" s="113"/>
      <c r="BA302" s="113"/>
      <c r="BB302" s="113"/>
      <c r="BC302" s="113"/>
      <c r="BD302" s="113"/>
      <c r="BE302" s="113"/>
      <c r="BF302" s="113"/>
      <c r="BG302" s="113"/>
      <c r="BH302" s="113"/>
      <c r="BI302" s="113"/>
      <c r="BJ302" s="113"/>
      <c r="BK302" s="113"/>
      <c r="BL302" s="113"/>
      <c r="BM302" s="113"/>
      <c r="BN302" s="113"/>
      <c r="BO302" s="113"/>
      <c r="BP302" s="113"/>
      <c r="BQ302" s="113"/>
      <c r="BR302" s="113"/>
      <c r="BS302" s="113"/>
      <c r="BT302" s="113"/>
      <c r="BU302" s="113"/>
      <c r="BV302" s="113"/>
      <c r="BW302" s="113"/>
      <c r="BX302" s="113"/>
      <c r="BY302" s="113"/>
      <c r="BZ302" s="113"/>
      <c r="CA302" s="113"/>
      <c r="CB302" s="113"/>
    </row>
    <row r="303" spans="5:80" x14ac:dyDescent="0.25">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3"/>
      <c r="AY303" s="113"/>
      <c r="AZ303" s="113"/>
      <c r="BA303" s="113"/>
      <c r="BB303" s="113"/>
      <c r="BC303" s="113"/>
      <c r="BD303" s="113"/>
      <c r="BE303" s="113"/>
      <c r="BF303" s="113"/>
      <c r="BG303" s="113"/>
      <c r="BH303" s="113"/>
      <c r="BI303" s="113"/>
      <c r="BJ303" s="113"/>
      <c r="BK303" s="113"/>
      <c r="BL303" s="113"/>
      <c r="BM303" s="113"/>
      <c r="BN303" s="113"/>
      <c r="BO303" s="113"/>
      <c r="BP303" s="113"/>
      <c r="BQ303" s="113"/>
      <c r="BR303" s="113"/>
      <c r="BS303" s="113"/>
      <c r="BT303" s="113"/>
      <c r="BU303" s="113"/>
      <c r="BV303" s="113"/>
      <c r="BW303" s="113"/>
      <c r="BX303" s="113"/>
      <c r="BY303" s="113"/>
      <c r="BZ303" s="113"/>
      <c r="CA303" s="113"/>
      <c r="CB303" s="113"/>
    </row>
    <row r="304" spans="5:80" x14ac:dyDescent="0.25">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3"/>
      <c r="AY304" s="113"/>
      <c r="AZ304" s="113"/>
      <c r="BA304" s="113"/>
      <c r="BB304" s="113"/>
      <c r="BC304" s="113"/>
      <c r="BD304" s="113"/>
      <c r="BE304" s="113"/>
      <c r="BF304" s="113"/>
      <c r="BG304" s="113"/>
      <c r="BH304" s="113"/>
      <c r="BI304" s="113"/>
      <c r="BJ304" s="113"/>
      <c r="BK304" s="113"/>
      <c r="BL304" s="113"/>
      <c r="BM304" s="113"/>
      <c r="BN304" s="113"/>
      <c r="BO304" s="113"/>
      <c r="BP304" s="113"/>
      <c r="BQ304" s="113"/>
      <c r="BR304" s="113"/>
      <c r="BS304" s="113"/>
      <c r="BT304" s="113"/>
      <c r="BU304" s="113"/>
      <c r="BV304" s="113"/>
      <c r="BW304" s="113"/>
      <c r="BX304" s="113"/>
      <c r="BY304" s="113"/>
      <c r="BZ304" s="113"/>
      <c r="CA304" s="113"/>
      <c r="CB304" s="113"/>
    </row>
    <row r="305" spans="5:80" x14ac:dyDescent="0.25">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c r="AC305" s="113"/>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c r="AX305" s="113"/>
      <c r="AY305" s="113"/>
      <c r="AZ305" s="113"/>
      <c r="BA305" s="113"/>
      <c r="BB305" s="113"/>
      <c r="BC305" s="113"/>
      <c r="BD305" s="113"/>
      <c r="BE305" s="113"/>
      <c r="BF305" s="113"/>
      <c r="BG305" s="113"/>
      <c r="BH305" s="113"/>
      <c r="BI305" s="113"/>
      <c r="BJ305" s="113"/>
      <c r="BK305" s="113"/>
      <c r="BL305" s="113"/>
      <c r="BM305" s="113"/>
      <c r="BN305" s="113"/>
      <c r="BO305" s="113"/>
      <c r="BP305" s="113"/>
      <c r="BQ305" s="113"/>
      <c r="BR305" s="113"/>
      <c r="BS305" s="113"/>
      <c r="BT305" s="113"/>
      <c r="BU305" s="113"/>
      <c r="BV305" s="113"/>
      <c r="BW305" s="113"/>
      <c r="BX305" s="113"/>
      <c r="BY305" s="113"/>
      <c r="BZ305" s="113"/>
      <c r="CA305" s="113"/>
      <c r="CB305" s="113"/>
    </row>
    <row r="306" spans="5:80" x14ac:dyDescent="0.25">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c r="AC306" s="113"/>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c r="AX306" s="113"/>
      <c r="AY306" s="113"/>
      <c r="AZ306" s="113"/>
      <c r="BA306" s="113"/>
      <c r="BB306" s="113"/>
      <c r="BC306" s="113"/>
      <c r="BD306" s="113"/>
      <c r="BE306" s="113"/>
      <c r="BF306" s="113"/>
      <c r="BG306" s="113"/>
      <c r="BH306" s="113"/>
      <c r="BI306" s="113"/>
      <c r="BJ306" s="113"/>
      <c r="BK306" s="113"/>
      <c r="BL306" s="113"/>
      <c r="BM306" s="113"/>
      <c r="BN306" s="113"/>
      <c r="BO306" s="113"/>
      <c r="BP306" s="113"/>
      <c r="BQ306" s="113"/>
      <c r="BR306" s="113"/>
      <c r="BS306" s="113"/>
      <c r="BT306" s="113"/>
      <c r="BU306" s="113"/>
      <c r="BV306" s="113"/>
      <c r="BW306" s="113"/>
      <c r="BX306" s="113"/>
      <c r="BY306" s="113"/>
      <c r="BZ306" s="113"/>
      <c r="CA306" s="113"/>
      <c r="CB306" s="113"/>
    </row>
    <row r="307" spans="5:80" x14ac:dyDescent="0.25">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c r="AC307" s="113"/>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c r="AX307" s="113"/>
      <c r="AY307" s="113"/>
      <c r="AZ307" s="113"/>
      <c r="BA307" s="113"/>
      <c r="BB307" s="113"/>
      <c r="BC307" s="113"/>
      <c r="BD307" s="113"/>
      <c r="BE307" s="113"/>
      <c r="BF307" s="113"/>
      <c r="BG307" s="113"/>
      <c r="BH307" s="113"/>
      <c r="BI307" s="113"/>
      <c r="BJ307" s="113"/>
      <c r="BK307" s="113"/>
      <c r="BL307" s="113"/>
      <c r="BM307" s="113"/>
      <c r="BN307" s="113"/>
      <c r="BO307" s="113"/>
      <c r="BP307" s="113"/>
      <c r="BQ307" s="113"/>
      <c r="BR307" s="113"/>
      <c r="BS307" s="113"/>
      <c r="BT307" s="113"/>
      <c r="BU307" s="113"/>
      <c r="BV307" s="113"/>
      <c r="BW307" s="113"/>
      <c r="BX307" s="113"/>
      <c r="BY307" s="113"/>
      <c r="BZ307" s="113"/>
      <c r="CA307" s="113"/>
      <c r="CB307" s="113"/>
    </row>
    <row r="308" spans="5:80" x14ac:dyDescent="0.25">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c r="AC308" s="113"/>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c r="AX308" s="113"/>
      <c r="AY308" s="113"/>
      <c r="AZ308" s="113"/>
      <c r="BA308" s="113"/>
      <c r="BB308" s="113"/>
      <c r="BC308" s="113"/>
      <c r="BD308" s="113"/>
      <c r="BE308" s="113"/>
      <c r="BF308" s="113"/>
      <c r="BG308" s="113"/>
      <c r="BH308" s="113"/>
      <c r="BI308" s="113"/>
      <c r="BJ308" s="113"/>
      <c r="BK308" s="113"/>
      <c r="BL308" s="113"/>
      <c r="BM308" s="113"/>
      <c r="BN308" s="113"/>
      <c r="BO308" s="113"/>
      <c r="BP308" s="113"/>
      <c r="BQ308" s="113"/>
      <c r="BR308" s="113"/>
      <c r="BS308" s="113"/>
      <c r="BT308" s="113"/>
      <c r="BU308" s="113"/>
      <c r="BV308" s="113"/>
      <c r="BW308" s="113"/>
      <c r="BX308" s="113"/>
      <c r="BY308" s="113"/>
      <c r="BZ308" s="113"/>
      <c r="CA308" s="113"/>
      <c r="CB308" s="113"/>
    </row>
    <row r="309" spans="5:80" x14ac:dyDescent="0.25">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c r="AC309" s="113"/>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c r="AX309" s="113"/>
      <c r="AY309" s="113"/>
      <c r="AZ309" s="113"/>
      <c r="BA309" s="113"/>
      <c r="BB309" s="113"/>
      <c r="BC309" s="113"/>
      <c r="BD309" s="113"/>
      <c r="BE309" s="113"/>
      <c r="BF309" s="113"/>
      <c r="BG309" s="113"/>
      <c r="BH309" s="113"/>
      <c r="BI309" s="113"/>
      <c r="BJ309" s="113"/>
      <c r="BK309" s="113"/>
      <c r="BL309" s="113"/>
      <c r="BM309" s="113"/>
      <c r="BN309" s="113"/>
      <c r="BO309" s="113"/>
      <c r="BP309" s="113"/>
      <c r="BQ309" s="113"/>
      <c r="BR309" s="113"/>
      <c r="BS309" s="113"/>
      <c r="BT309" s="113"/>
      <c r="BU309" s="113"/>
      <c r="BV309" s="113"/>
      <c r="BW309" s="113"/>
      <c r="BX309" s="113"/>
      <c r="BY309" s="113"/>
      <c r="BZ309" s="113"/>
      <c r="CA309" s="113"/>
      <c r="CB309" s="113"/>
    </row>
    <row r="310" spans="5:80" x14ac:dyDescent="0.25">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c r="AC310" s="113"/>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c r="AX310" s="113"/>
      <c r="AY310" s="113"/>
      <c r="AZ310" s="113"/>
      <c r="BA310" s="113"/>
      <c r="BB310" s="113"/>
      <c r="BC310" s="113"/>
      <c r="BD310" s="113"/>
      <c r="BE310" s="113"/>
      <c r="BF310" s="113"/>
      <c r="BG310" s="113"/>
      <c r="BH310" s="113"/>
      <c r="BI310" s="113"/>
      <c r="BJ310" s="113"/>
      <c r="BK310" s="113"/>
      <c r="BL310" s="113"/>
      <c r="BM310" s="113"/>
      <c r="BN310" s="113"/>
      <c r="BO310" s="113"/>
      <c r="BP310" s="113"/>
      <c r="BQ310" s="113"/>
      <c r="BR310" s="113"/>
      <c r="BS310" s="113"/>
      <c r="BT310" s="113"/>
      <c r="BU310" s="113"/>
      <c r="BV310" s="113"/>
      <c r="BW310" s="113"/>
      <c r="BX310" s="113"/>
      <c r="BY310" s="113"/>
      <c r="BZ310" s="113"/>
      <c r="CA310" s="113"/>
      <c r="CB310" s="113"/>
    </row>
    <row r="311" spans="5:80" x14ac:dyDescent="0.25">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c r="AC311" s="113"/>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c r="AX311" s="113"/>
      <c r="AY311" s="113"/>
      <c r="AZ311" s="113"/>
      <c r="BA311" s="113"/>
      <c r="BB311" s="113"/>
      <c r="BC311" s="113"/>
      <c r="BD311" s="113"/>
      <c r="BE311" s="113"/>
      <c r="BF311" s="113"/>
      <c r="BG311" s="113"/>
      <c r="BH311" s="113"/>
      <c r="BI311" s="113"/>
      <c r="BJ311" s="113"/>
      <c r="BK311" s="113"/>
      <c r="BL311" s="113"/>
      <c r="BM311" s="113"/>
      <c r="BN311" s="113"/>
      <c r="BO311" s="113"/>
      <c r="BP311" s="113"/>
      <c r="BQ311" s="113"/>
      <c r="BR311" s="113"/>
      <c r="BS311" s="113"/>
      <c r="BT311" s="113"/>
      <c r="BU311" s="113"/>
      <c r="BV311" s="113"/>
      <c r="BW311" s="113"/>
      <c r="BX311" s="113"/>
      <c r="BY311" s="113"/>
      <c r="BZ311" s="113"/>
      <c r="CA311" s="113"/>
      <c r="CB311" s="113"/>
    </row>
    <row r="312" spans="5:80" x14ac:dyDescent="0.25">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c r="AC312" s="113"/>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c r="AX312" s="113"/>
      <c r="AY312" s="113"/>
      <c r="AZ312" s="113"/>
      <c r="BA312" s="113"/>
      <c r="BB312" s="113"/>
      <c r="BC312" s="113"/>
      <c r="BD312" s="113"/>
      <c r="BE312" s="113"/>
      <c r="BF312" s="113"/>
      <c r="BG312" s="113"/>
      <c r="BH312" s="113"/>
      <c r="BI312" s="113"/>
      <c r="BJ312" s="113"/>
      <c r="BK312" s="113"/>
      <c r="BL312" s="113"/>
      <c r="BM312" s="113"/>
      <c r="BN312" s="113"/>
      <c r="BO312" s="113"/>
      <c r="BP312" s="113"/>
      <c r="BQ312" s="113"/>
      <c r="BR312" s="113"/>
      <c r="BS312" s="113"/>
      <c r="BT312" s="113"/>
      <c r="BU312" s="113"/>
      <c r="BV312" s="113"/>
      <c r="BW312" s="113"/>
      <c r="BX312" s="113"/>
      <c r="BY312" s="113"/>
      <c r="BZ312" s="113"/>
      <c r="CA312" s="113"/>
      <c r="CB312" s="113"/>
    </row>
    <row r="313" spans="5:80" x14ac:dyDescent="0.25">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c r="AC313" s="113"/>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c r="AX313" s="113"/>
      <c r="AY313" s="113"/>
      <c r="AZ313" s="113"/>
      <c r="BA313" s="113"/>
      <c r="BB313" s="113"/>
      <c r="BC313" s="113"/>
      <c r="BD313" s="113"/>
      <c r="BE313" s="113"/>
      <c r="BF313" s="113"/>
      <c r="BG313" s="113"/>
      <c r="BH313" s="113"/>
      <c r="BI313" s="113"/>
      <c r="BJ313" s="113"/>
      <c r="BK313" s="113"/>
      <c r="BL313" s="113"/>
      <c r="BM313" s="113"/>
      <c r="BN313" s="113"/>
      <c r="BO313" s="113"/>
      <c r="BP313" s="113"/>
      <c r="BQ313" s="113"/>
      <c r="BR313" s="113"/>
      <c r="BS313" s="113"/>
      <c r="BT313" s="113"/>
      <c r="BU313" s="113"/>
      <c r="BV313" s="113"/>
      <c r="BW313" s="113"/>
      <c r="BX313" s="113"/>
      <c r="BY313" s="113"/>
      <c r="BZ313" s="113"/>
      <c r="CA313" s="113"/>
      <c r="CB313" s="113"/>
    </row>
    <row r="314" spans="5:80" x14ac:dyDescent="0.25">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c r="AC314" s="113"/>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c r="AX314" s="113"/>
      <c r="AY314" s="113"/>
      <c r="AZ314" s="113"/>
      <c r="BA314" s="113"/>
      <c r="BB314" s="113"/>
      <c r="BC314" s="113"/>
      <c r="BD314" s="113"/>
      <c r="BE314" s="113"/>
      <c r="BF314" s="113"/>
      <c r="BG314" s="113"/>
      <c r="BH314" s="113"/>
      <c r="BI314" s="113"/>
      <c r="BJ314" s="113"/>
      <c r="BK314" s="113"/>
      <c r="BL314" s="113"/>
      <c r="BM314" s="113"/>
      <c r="BN314" s="113"/>
      <c r="BO314" s="113"/>
      <c r="BP314" s="113"/>
      <c r="BQ314" s="113"/>
      <c r="BR314" s="113"/>
      <c r="BS314" s="113"/>
      <c r="BT314" s="113"/>
      <c r="BU314" s="113"/>
      <c r="BV314" s="113"/>
      <c r="BW314" s="113"/>
      <c r="BX314" s="113"/>
      <c r="BY314" s="113"/>
      <c r="BZ314" s="113"/>
      <c r="CA314" s="113"/>
      <c r="CB314" s="113"/>
    </row>
    <row r="315" spans="5:80" x14ac:dyDescent="0.25">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c r="AC315" s="113"/>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c r="AX315" s="113"/>
      <c r="AY315" s="113"/>
      <c r="AZ315" s="113"/>
      <c r="BA315" s="113"/>
      <c r="BB315" s="113"/>
      <c r="BC315" s="113"/>
      <c r="BD315" s="113"/>
      <c r="BE315" s="113"/>
      <c r="BF315" s="113"/>
      <c r="BG315" s="113"/>
      <c r="BH315" s="113"/>
      <c r="BI315" s="113"/>
      <c r="BJ315" s="113"/>
      <c r="BK315" s="113"/>
      <c r="BL315" s="113"/>
      <c r="BM315" s="113"/>
      <c r="BN315" s="113"/>
      <c r="BO315" s="113"/>
      <c r="BP315" s="113"/>
      <c r="BQ315" s="113"/>
      <c r="BR315" s="113"/>
      <c r="BS315" s="113"/>
      <c r="BT315" s="113"/>
      <c r="BU315" s="113"/>
      <c r="BV315" s="113"/>
      <c r="BW315" s="113"/>
      <c r="BX315" s="113"/>
      <c r="BY315" s="113"/>
      <c r="BZ315" s="113"/>
      <c r="CA315" s="113"/>
      <c r="CB315" s="113"/>
    </row>
    <row r="316" spans="5:80" x14ac:dyDescent="0.25">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c r="AC316" s="113"/>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c r="AX316" s="113"/>
      <c r="AY316" s="113"/>
      <c r="AZ316" s="113"/>
      <c r="BA316" s="113"/>
      <c r="BB316" s="113"/>
      <c r="BC316" s="113"/>
      <c r="BD316" s="113"/>
      <c r="BE316" s="113"/>
      <c r="BF316" s="113"/>
      <c r="BG316" s="113"/>
      <c r="BH316" s="113"/>
      <c r="BI316" s="113"/>
      <c r="BJ316" s="113"/>
      <c r="BK316" s="113"/>
      <c r="BL316" s="113"/>
      <c r="BM316" s="113"/>
      <c r="BN316" s="113"/>
      <c r="BO316" s="113"/>
      <c r="BP316" s="113"/>
      <c r="BQ316" s="113"/>
      <c r="BR316" s="113"/>
      <c r="BS316" s="113"/>
      <c r="BT316" s="113"/>
      <c r="BU316" s="113"/>
      <c r="BV316" s="113"/>
      <c r="BW316" s="113"/>
      <c r="BX316" s="113"/>
      <c r="BY316" s="113"/>
      <c r="BZ316" s="113"/>
      <c r="CA316" s="113"/>
      <c r="CB316" s="113"/>
    </row>
    <row r="317" spans="5:80" x14ac:dyDescent="0.25">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c r="AC317" s="113"/>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c r="AX317" s="113"/>
      <c r="AY317" s="113"/>
      <c r="AZ317" s="113"/>
      <c r="BA317" s="113"/>
      <c r="BB317" s="113"/>
      <c r="BC317" s="113"/>
      <c r="BD317" s="113"/>
      <c r="BE317" s="113"/>
      <c r="BF317" s="113"/>
      <c r="BG317" s="113"/>
      <c r="BH317" s="113"/>
      <c r="BI317" s="113"/>
      <c r="BJ317" s="113"/>
      <c r="BK317" s="113"/>
      <c r="BL317" s="113"/>
      <c r="BM317" s="113"/>
      <c r="BN317" s="113"/>
      <c r="BO317" s="113"/>
      <c r="BP317" s="113"/>
      <c r="BQ317" s="113"/>
      <c r="BR317" s="113"/>
      <c r="BS317" s="113"/>
      <c r="BT317" s="113"/>
      <c r="BU317" s="113"/>
      <c r="BV317" s="113"/>
      <c r="BW317" s="113"/>
      <c r="BX317" s="113"/>
      <c r="BY317" s="113"/>
      <c r="BZ317" s="113"/>
      <c r="CA317" s="113"/>
      <c r="CB317" s="113"/>
    </row>
    <row r="318" spans="5:80" x14ac:dyDescent="0.25">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c r="AC318" s="113"/>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c r="AX318" s="113"/>
      <c r="AY318" s="113"/>
      <c r="AZ318" s="113"/>
      <c r="BA318" s="113"/>
      <c r="BB318" s="113"/>
      <c r="BC318" s="113"/>
      <c r="BD318" s="113"/>
      <c r="BE318" s="113"/>
      <c r="BF318" s="113"/>
      <c r="BG318" s="113"/>
      <c r="BH318" s="113"/>
      <c r="BI318" s="113"/>
      <c r="BJ318" s="113"/>
      <c r="BK318" s="113"/>
      <c r="BL318" s="113"/>
      <c r="BM318" s="113"/>
      <c r="BN318" s="113"/>
      <c r="BO318" s="113"/>
      <c r="BP318" s="113"/>
      <c r="BQ318" s="113"/>
      <c r="BR318" s="113"/>
      <c r="BS318" s="113"/>
      <c r="BT318" s="113"/>
      <c r="BU318" s="113"/>
      <c r="BV318" s="113"/>
      <c r="BW318" s="113"/>
      <c r="BX318" s="113"/>
      <c r="BY318" s="113"/>
      <c r="BZ318" s="113"/>
      <c r="CA318" s="113"/>
      <c r="CB318" s="113"/>
    </row>
    <row r="319" spans="5:80" x14ac:dyDescent="0.25">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c r="AC319" s="113"/>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c r="AX319" s="113"/>
      <c r="AY319" s="113"/>
      <c r="AZ319" s="113"/>
      <c r="BA319" s="113"/>
      <c r="BB319" s="113"/>
      <c r="BC319" s="113"/>
      <c r="BD319" s="113"/>
      <c r="BE319" s="113"/>
      <c r="BF319" s="113"/>
      <c r="BG319" s="113"/>
      <c r="BH319" s="113"/>
      <c r="BI319" s="113"/>
      <c r="BJ319" s="113"/>
      <c r="BK319" s="113"/>
      <c r="BL319" s="113"/>
      <c r="BM319" s="113"/>
      <c r="BN319" s="113"/>
      <c r="BO319" s="113"/>
      <c r="BP319" s="113"/>
      <c r="BQ319" s="113"/>
      <c r="BR319" s="113"/>
      <c r="BS319" s="113"/>
      <c r="BT319" s="113"/>
      <c r="BU319" s="113"/>
      <c r="BV319" s="113"/>
      <c r="BW319" s="113"/>
      <c r="BX319" s="113"/>
      <c r="BY319" s="113"/>
      <c r="BZ319" s="113"/>
      <c r="CA319" s="113"/>
      <c r="CB319" s="113"/>
    </row>
    <row r="320" spans="5:80" x14ac:dyDescent="0.25">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c r="AC320" s="113"/>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c r="AX320" s="113"/>
      <c r="AY320" s="113"/>
      <c r="AZ320" s="113"/>
      <c r="BA320" s="113"/>
      <c r="BB320" s="113"/>
      <c r="BC320" s="113"/>
      <c r="BD320" s="113"/>
      <c r="BE320" s="113"/>
      <c r="BF320" s="113"/>
      <c r="BG320" s="113"/>
      <c r="BH320" s="113"/>
      <c r="BI320" s="113"/>
      <c r="BJ320" s="113"/>
      <c r="BK320" s="113"/>
      <c r="BL320" s="113"/>
      <c r="BM320" s="113"/>
      <c r="BN320" s="113"/>
      <c r="BO320" s="113"/>
      <c r="BP320" s="113"/>
      <c r="BQ320" s="113"/>
      <c r="BR320" s="113"/>
      <c r="BS320" s="113"/>
      <c r="BT320" s="113"/>
      <c r="BU320" s="113"/>
      <c r="BV320" s="113"/>
      <c r="BW320" s="113"/>
      <c r="BX320" s="113"/>
      <c r="BY320" s="113"/>
      <c r="BZ320" s="113"/>
      <c r="CA320" s="113"/>
      <c r="CB320" s="113"/>
    </row>
    <row r="321" spans="5:80" x14ac:dyDescent="0.25">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c r="AC321" s="113"/>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c r="AX321" s="113"/>
      <c r="AY321" s="113"/>
      <c r="AZ321" s="113"/>
      <c r="BA321" s="113"/>
      <c r="BB321" s="113"/>
      <c r="BC321" s="113"/>
      <c r="BD321" s="113"/>
      <c r="BE321" s="113"/>
      <c r="BF321" s="113"/>
      <c r="BG321" s="113"/>
      <c r="BH321" s="113"/>
      <c r="BI321" s="113"/>
      <c r="BJ321" s="113"/>
      <c r="BK321" s="113"/>
      <c r="BL321" s="113"/>
      <c r="BM321" s="113"/>
      <c r="BN321" s="113"/>
      <c r="BO321" s="113"/>
      <c r="BP321" s="113"/>
      <c r="BQ321" s="113"/>
      <c r="BR321" s="113"/>
      <c r="BS321" s="113"/>
      <c r="BT321" s="113"/>
      <c r="BU321" s="113"/>
      <c r="BV321" s="113"/>
      <c r="BW321" s="113"/>
      <c r="BX321" s="113"/>
      <c r="BY321" s="113"/>
      <c r="BZ321" s="113"/>
      <c r="CA321" s="113"/>
      <c r="CB321" s="113"/>
    </row>
    <row r="322" spans="5:80" x14ac:dyDescent="0.25">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c r="AC322" s="113"/>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c r="AX322" s="113"/>
      <c r="AY322" s="113"/>
      <c r="AZ322" s="113"/>
      <c r="BA322" s="113"/>
      <c r="BB322" s="113"/>
      <c r="BC322" s="113"/>
      <c r="BD322" s="113"/>
      <c r="BE322" s="113"/>
      <c r="BF322" s="113"/>
      <c r="BG322" s="113"/>
      <c r="BH322" s="113"/>
      <c r="BI322" s="113"/>
      <c r="BJ322" s="113"/>
      <c r="BK322" s="113"/>
      <c r="BL322" s="113"/>
      <c r="BM322" s="113"/>
      <c r="BN322" s="113"/>
      <c r="BO322" s="113"/>
      <c r="BP322" s="113"/>
      <c r="BQ322" s="113"/>
      <c r="BR322" s="113"/>
      <c r="BS322" s="113"/>
      <c r="BT322" s="113"/>
      <c r="BU322" s="113"/>
      <c r="BV322" s="113"/>
      <c r="BW322" s="113"/>
      <c r="BX322" s="113"/>
      <c r="BY322" s="113"/>
      <c r="BZ322" s="113"/>
      <c r="CA322" s="113"/>
      <c r="CB322" s="113"/>
    </row>
    <row r="323" spans="5:80" x14ac:dyDescent="0.25">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c r="AC323" s="113"/>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c r="AX323" s="113"/>
      <c r="AY323" s="113"/>
      <c r="AZ323" s="113"/>
      <c r="BA323" s="113"/>
      <c r="BB323" s="113"/>
      <c r="BC323" s="113"/>
      <c r="BD323" s="113"/>
      <c r="BE323" s="113"/>
      <c r="BF323" s="113"/>
      <c r="BG323" s="113"/>
      <c r="BH323" s="113"/>
      <c r="BI323" s="113"/>
      <c r="BJ323" s="113"/>
      <c r="BK323" s="113"/>
      <c r="BL323" s="113"/>
      <c r="BM323" s="113"/>
      <c r="BN323" s="113"/>
      <c r="BO323" s="113"/>
      <c r="BP323" s="113"/>
      <c r="BQ323" s="113"/>
      <c r="BR323" s="113"/>
      <c r="BS323" s="113"/>
      <c r="BT323" s="113"/>
      <c r="BU323" s="113"/>
      <c r="BV323" s="113"/>
      <c r="BW323" s="113"/>
      <c r="BX323" s="113"/>
      <c r="BY323" s="113"/>
      <c r="BZ323" s="113"/>
      <c r="CA323" s="113"/>
      <c r="CB323" s="113"/>
    </row>
    <row r="324" spans="5:80" x14ac:dyDescent="0.25">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c r="AC324" s="113"/>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c r="AX324" s="113"/>
      <c r="AY324" s="113"/>
      <c r="AZ324" s="113"/>
      <c r="BA324" s="113"/>
      <c r="BB324" s="113"/>
      <c r="BC324" s="113"/>
      <c r="BD324" s="113"/>
      <c r="BE324" s="113"/>
      <c r="BF324" s="113"/>
      <c r="BG324" s="113"/>
      <c r="BH324" s="113"/>
      <c r="BI324" s="113"/>
      <c r="BJ324" s="113"/>
      <c r="BK324" s="113"/>
      <c r="BL324" s="113"/>
      <c r="BM324" s="113"/>
      <c r="BN324" s="113"/>
      <c r="BO324" s="113"/>
      <c r="BP324" s="113"/>
      <c r="BQ324" s="113"/>
      <c r="BR324" s="113"/>
      <c r="BS324" s="113"/>
      <c r="BT324" s="113"/>
      <c r="BU324" s="113"/>
      <c r="BV324" s="113"/>
      <c r="BW324" s="113"/>
      <c r="BX324" s="113"/>
      <c r="BY324" s="113"/>
      <c r="BZ324" s="113"/>
      <c r="CA324" s="113"/>
      <c r="CB324" s="113"/>
    </row>
    <row r="325" spans="5:80" x14ac:dyDescent="0.25">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c r="AC325" s="113"/>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c r="AX325" s="113"/>
      <c r="AY325" s="113"/>
      <c r="AZ325" s="113"/>
      <c r="BA325" s="113"/>
      <c r="BB325" s="113"/>
      <c r="BC325" s="113"/>
      <c r="BD325" s="113"/>
      <c r="BE325" s="113"/>
      <c r="BF325" s="113"/>
      <c r="BG325" s="113"/>
      <c r="BH325" s="113"/>
      <c r="BI325" s="113"/>
      <c r="BJ325" s="113"/>
      <c r="BK325" s="113"/>
      <c r="BL325" s="113"/>
      <c r="BM325" s="113"/>
      <c r="BN325" s="113"/>
      <c r="BO325" s="113"/>
      <c r="BP325" s="113"/>
      <c r="BQ325" s="113"/>
      <c r="BR325" s="113"/>
      <c r="BS325" s="113"/>
      <c r="BT325" s="113"/>
      <c r="BU325" s="113"/>
      <c r="BV325" s="113"/>
      <c r="BW325" s="113"/>
      <c r="BX325" s="113"/>
      <c r="BY325" s="113"/>
      <c r="BZ325" s="113"/>
      <c r="CA325" s="113"/>
      <c r="CB325" s="113"/>
    </row>
    <row r="326" spans="5:80" x14ac:dyDescent="0.25">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c r="AC326" s="113"/>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c r="AX326" s="113"/>
      <c r="AY326" s="113"/>
      <c r="AZ326" s="113"/>
      <c r="BA326" s="113"/>
      <c r="BB326" s="113"/>
      <c r="BC326" s="113"/>
      <c r="BD326" s="113"/>
      <c r="BE326" s="113"/>
      <c r="BF326" s="113"/>
      <c r="BG326" s="113"/>
      <c r="BH326" s="113"/>
      <c r="BI326" s="113"/>
      <c r="BJ326" s="113"/>
      <c r="BK326" s="113"/>
      <c r="BL326" s="113"/>
      <c r="BM326" s="113"/>
      <c r="BN326" s="113"/>
      <c r="BO326" s="113"/>
      <c r="BP326" s="113"/>
      <c r="BQ326" s="113"/>
      <c r="BR326" s="113"/>
      <c r="BS326" s="113"/>
      <c r="BT326" s="113"/>
      <c r="BU326" s="113"/>
      <c r="BV326" s="113"/>
      <c r="BW326" s="113"/>
      <c r="BX326" s="113"/>
      <c r="BY326" s="113"/>
      <c r="BZ326" s="113"/>
      <c r="CA326" s="113"/>
      <c r="CB326" s="113"/>
    </row>
    <row r="327" spans="5:80" x14ac:dyDescent="0.25">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c r="AC327" s="113"/>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c r="AX327" s="113"/>
      <c r="AY327" s="113"/>
      <c r="AZ327" s="113"/>
      <c r="BA327" s="113"/>
      <c r="BB327" s="113"/>
      <c r="BC327" s="113"/>
      <c r="BD327" s="113"/>
      <c r="BE327" s="113"/>
      <c r="BF327" s="113"/>
      <c r="BG327" s="113"/>
      <c r="BH327" s="113"/>
      <c r="BI327" s="113"/>
      <c r="BJ327" s="113"/>
      <c r="BK327" s="113"/>
      <c r="BL327" s="113"/>
      <c r="BM327" s="113"/>
      <c r="BN327" s="113"/>
      <c r="BO327" s="113"/>
      <c r="BP327" s="113"/>
      <c r="BQ327" s="113"/>
      <c r="BR327" s="113"/>
      <c r="BS327" s="113"/>
      <c r="BT327" s="113"/>
      <c r="BU327" s="113"/>
      <c r="BV327" s="113"/>
      <c r="BW327" s="113"/>
      <c r="BX327" s="113"/>
      <c r="BY327" s="113"/>
      <c r="BZ327" s="113"/>
      <c r="CA327" s="113"/>
      <c r="CB327" s="113"/>
    </row>
    <row r="328" spans="5:80" x14ac:dyDescent="0.25">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c r="AC328" s="113"/>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c r="AX328" s="113"/>
      <c r="AY328" s="113"/>
      <c r="AZ328" s="113"/>
      <c r="BA328" s="113"/>
      <c r="BB328" s="113"/>
      <c r="BC328" s="113"/>
      <c r="BD328" s="113"/>
      <c r="BE328" s="113"/>
      <c r="BF328" s="113"/>
      <c r="BG328" s="113"/>
      <c r="BH328" s="113"/>
      <c r="BI328" s="113"/>
      <c r="BJ328" s="113"/>
      <c r="BK328" s="113"/>
      <c r="BL328" s="113"/>
      <c r="BM328" s="113"/>
      <c r="BN328" s="113"/>
      <c r="BO328" s="113"/>
      <c r="BP328" s="113"/>
      <c r="BQ328" s="113"/>
      <c r="BR328" s="113"/>
      <c r="BS328" s="113"/>
      <c r="BT328" s="113"/>
      <c r="BU328" s="113"/>
      <c r="BV328" s="113"/>
      <c r="BW328" s="113"/>
      <c r="BX328" s="113"/>
      <c r="BY328" s="113"/>
      <c r="BZ328" s="113"/>
      <c r="CA328" s="113"/>
      <c r="CB328" s="113"/>
    </row>
    <row r="329" spans="5:80" x14ac:dyDescent="0.25">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c r="AC329" s="113"/>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c r="AX329" s="113"/>
      <c r="AY329" s="113"/>
      <c r="AZ329" s="113"/>
      <c r="BA329" s="113"/>
      <c r="BB329" s="113"/>
      <c r="BC329" s="113"/>
      <c r="BD329" s="113"/>
      <c r="BE329" s="113"/>
      <c r="BF329" s="113"/>
      <c r="BG329" s="113"/>
      <c r="BH329" s="113"/>
      <c r="BI329" s="113"/>
      <c r="BJ329" s="113"/>
      <c r="BK329" s="113"/>
      <c r="BL329" s="113"/>
      <c r="BM329" s="113"/>
      <c r="BN329" s="113"/>
      <c r="BO329" s="113"/>
      <c r="BP329" s="113"/>
      <c r="BQ329" s="113"/>
      <c r="BR329" s="113"/>
      <c r="BS329" s="113"/>
      <c r="BT329" s="113"/>
      <c r="BU329" s="113"/>
      <c r="BV329" s="113"/>
      <c r="BW329" s="113"/>
      <c r="BX329" s="113"/>
      <c r="BY329" s="113"/>
      <c r="BZ329" s="113"/>
      <c r="CA329" s="113"/>
      <c r="CB329" s="113"/>
    </row>
    <row r="330" spans="5:80" x14ac:dyDescent="0.25">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c r="AC330" s="113"/>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c r="AX330" s="113"/>
      <c r="AY330" s="113"/>
      <c r="AZ330" s="113"/>
      <c r="BA330" s="113"/>
      <c r="BB330" s="113"/>
      <c r="BC330" s="113"/>
      <c r="BD330" s="113"/>
      <c r="BE330" s="113"/>
      <c r="BF330" s="113"/>
      <c r="BG330" s="113"/>
      <c r="BH330" s="113"/>
      <c r="BI330" s="113"/>
      <c r="BJ330" s="113"/>
      <c r="BK330" s="113"/>
      <c r="BL330" s="113"/>
      <c r="BM330" s="113"/>
      <c r="BN330" s="113"/>
      <c r="BO330" s="113"/>
      <c r="BP330" s="113"/>
      <c r="BQ330" s="113"/>
      <c r="BR330" s="113"/>
      <c r="BS330" s="113"/>
      <c r="BT330" s="113"/>
      <c r="BU330" s="113"/>
      <c r="BV330" s="113"/>
      <c r="BW330" s="113"/>
      <c r="BX330" s="113"/>
      <c r="BY330" s="113"/>
      <c r="BZ330" s="113"/>
      <c r="CA330" s="113"/>
      <c r="CB330" s="113"/>
    </row>
    <row r="331" spans="5:80" x14ac:dyDescent="0.25">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c r="AC331" s="113"/>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c r="AX331" s="113"/>
      <c r="AY331" s="113"/>
      <c r="AZ331" s="113"/>
      <c r="BA331" s="113"/>
      <c r="BB331" s="113"/>
      <c r="BC331" s="113"/>
      <c r="BD331" s="113"/>
      <c r="BE331" s="113"/>
      <c r="BF331" s="113"/>
      <c r="BG331" s="113"/>
      <c r="BH331" s="113"/>
      <c r="BI331" s="113"/>
      <c r="BJ331" s="113"/>
      <c r="BK331" s="113"/>
      <c r="BL331" s="113"/>
      <c r="BM331" s="113"/>
      <c r="BN331" s="113"/>
      <c r="BO331" s="113"/>
      <c r="BP331" s="113"/>
      <c r="BQ331" s="113"/>
      <c r="BR331" s="113"/>
      <c r="BS331" s="113"/>
      <c r="BT331" s="113"/>
      <c r="BU331" s="113"/>
      <c r="BV331" s="113"/>
      <c r="BW331" s="113"/>
      <c r="BX331" s="113"/>
      <c r="BY331" s="113"/>
      <c r="BZ331" s="113"/>
      <c r="CA331" s="113"/>
      <c r="CB331" s="113"/>
    </row>
    <row r="332" spans="5:80" x14ac:dyDescent="0.25">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c r="AC332" s="113"/>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c r="AX332" s="113"/>
      <c r="AY332" s="113"/>
      <c r="AZ332" s="113"/>
      <c r="BA332" s="113"/>
      <c r="BB332" s="113"/>
      <c r="BC332" s="113"/>
      <c r="BD332" s="113"/>
      <c r="BE332" s="113"/>
      <c r="BF332" s="113"/>
      <c r="BG332" s="113"/>
      <c r="BH332" s="113"/>
      <c r="BI332" s="113"/>
      <c r="BJ332" s="113"/>
      <c r="BK332" s="113"/>
      <c r="BL332" s="113"/>
      <c r="BM332" s="113"/>
      <c r="BN332" s="113"/>
      <c r="BO332" s="113"/>
      <c r="BP332" s="113"/>
      <c r="BQ332" s="113"/>
      <c r="BR332" s="113"/>
      <c r="BS332" s="113"/>
      <c r="BT332" s="113"/>
      <c r="BU332" s="113"/>
      <c r="BV332" s="113"/>
      <c r="BW332" s="113"/>
      <c r="BX332" s="113"/>
      <c r="BY332" s="113"/>
      <c r="BZ332" s="113"/>
      <c r="CA332" s="113"/>
      <c r="CB332" s="113"/>
    </row>
    <row r="333" spans="5:80" x14ac:dyDescent="0.25">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c r="AC333" s="113"/>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c r="AX333" s="113"/>
      <c r="AY333" s="113"/>
      <c r="AZ333" s="113"/>
      <c r="BA333" s="113"/>
      <c r="BB333" s="113"/>
      <c r="BC333" s="113"/>
      <c r="BD333" s="113"/>
      <c r="BE333" s="113"/>
      <c r="BF333" s="113"/>
      <c r="BG333" s="113"/>
      <c r="BH333" s="113"/>
      <c r="BI333" s="113"/>
      <c r="BJ333" s="113"/>
      <c r="BK333" s="113"/>
      <c r="BL333" s="113"/>
      <c r="BM333" s="113"/>
      <c r="BN333" s="113"/>
      <c r="BO333" s="113"/>
      <c r="BP333" s="113"/>
      <c r="BQ333" s="113"/>
      <c r="BR333" s="113"/>
      <c r="BS333" s="113"/>
      <c r="BT333" s="113"/>
      <c r="BU333" s="113"/>
      <c r="BV333" s="113"/>
      <c r="BW333" s="113"/>
      <c r="BX333" s="113"/>
      <c r="BY333" s="113"/>
      <c r="BZ333" s="113"/>
      <c r="CA333" s="113"/>
      <c r="CB333" s="113"/>
    </row>
    <row r="334" spans="5:80" x14ac:dyDescent="0.25">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c r="AC334" s="113"/>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c r="AX334" s="113"/>
      <c r="AY334" s="113"/>
      <c r="AZ334" s="113"/>
      <c r="BA334" s="113"/>
      <c r="BB334" s="113"/>
      <c r="BC334" s="113"/>
      <c r="BD334" s="113"/>
      <c r="BE334" s="113"/>
      <c r="BF334" s="113"/>
      <c r="BG334" s="113"/>
      <c r="BH334" s="113"/>
      <c r="BI334" s="113"/>
      <c r="BJ334" s="113"/>
      <c r="BK334" s="113"/>
      <c r="BL334" s="113"/>
      <c r="BM334" s="113"/>
      <c r="BN334" s="113"/>
      <c r="BO334" s="113"/>
      <c r="BP334" s="113"/>
      <c r="BQ334" s="113"/>
      <c r="BR334" s="113"/>
      <c r="BS334" s="113"/>
      <c r="BT334" s="113"/>
      <c r="BU334" s="113"/>
      <c r="BV334" s="113"/>
      <c r="BW334" s="113"/>
      <c r="BX334" s="113"/>
      <c r="BY334" s="113"/>
      <c r="BZ334" s="113"/>
      <c r="CA334" s="113"/>
      <c r="CB334" s="113"/>
    </row>
    <row r="335" spans="5:80" x14ac:dyDescent="0.25">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c r="AC335" s="113"/>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c r="AX335" s="113"/>
      <c r="AY335" s="113"/>
      <c r="AZ335" s="113"/>
      <c r="BA335" s="113"/>
      <c r="BB335" s="113"/>
      <c r="BC335" s="113"/>
      <c r="BD335" s="113"/>
      <c r="BE335" s="113"/>
      <c r="BF335" s="113"/>
      <c r="BG335" s="113"/>
      <c r="BH335" s="113"/>
      <c r="BI335" s="113"/>
      <c r="BJ335" s="113"/>
      <c r="BK335" s="113"/>
      <c r="BL335" s="113"/>
      <c r="BM335" s="113"/>
      <c r="BN335" s="113"/>
      <c r="BO335" s="113"/>
      <c r="BP335" s="113"/>
      <c r="BQ335" s="113"/>
      <c r="BR335" s="113"/>
      <c r="BS335" s="113"/>
      <c r="BT335" s="113"/>
      <c r="BU335" s="113"/>
      <c r="BV335" s="113"/>
      <c r="BW335" s="113"/>
      <c r="BX335" s="113"/>
      <c r="BY335" s="113"/>
      <c r="BZ335" s="113"/>
      <c r="CA335" s="113"/>
      <c r="CB335" s="113"/>
    </row>
    <row r="336" spans="5:80" x14ac:dyDescent="0.25">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c r="AX336" s="113"/>
      <c r="AY336" s="113"/>
      <c r="AZ336" s="113"/>
      <c r="BA336" s="113"/>
      <c r="BB336" s="113"/>
      <c r="BC336" s="113"/>
      <c r="BD336" s="113"/>
      <c r="BE336" s="113"/>
      <c r="BF336" s="113"/>
      <c r="BG336" s="113"/>
      <c r="BH336" s="113"/>
      <c r="BI336" s="113"/>
      <c r="BJ336" s="113"/>
      <c r="BK336" s="113"/>
      <c r="BL336" s="113"/>
      <c r="BM336" s="113"/>
      <c r="BN336" s="113"/>
      <c r="BO336" s="113"/>
      <c r="BP336" s="113"/>
      <c r="BQ336" s="113"/>
      <c r="BR336" s="113"/>
      <c r="BS336" s="113"/>
      <c r="BT336" s="113"/>
      <c r="BU336" s="113"/>
      <c r="BV336" s="113"/>
      <c r="BW336" s="113"/>
      <c r="BX336" s="113"/>
      <c r="BY336" s="113"/>
      <c r="BZ336" s="113"/>
      <c r="CA336" s="113"/>
      <c r="CB336" s="113"/>
    </row>
    <row r="337" spans="5:80" x14ac:dyDescent="0.25">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c r="AC337" s="113"/>
      <c r="AD337" s="113"/>
      <c r="AE337" s="113"/>
      <c r="AF337" s="113"/>
      <c r="AG337" s="113"/>
      <c r="AH337" s="113"/>
      <c r="AI337" s="113"/>
      <c r="AJ337" s="113"/>
      <c r="AK337" s="113"/>
      <c r="AL337" s="113"/>
      <c r="AM337" s="113"/>
      <c r="AN337" s="113"/>
      <c r="AO337" s="113"/>
      <c r="AP337" s="113"/>
      <c r="AQ337" s="113"/>
      <c r="AR337" s="113"/>
      <c r="AS337" s="113"/>
      <c r="AT337" s="113"/>
      <c r="AU337" s="113"/>
      <c r="AV337" s="113"/>
      <c r="AW337" s="113"/>
      <c r="AX337" s="113"/>
      <c r="AY337" s="113"/>
      <c r="AZ337" s="113"/>
      <c r="BA337" s="113"/>
      <c r="BB337" s="113"/>
      <c r="BC337" s="113"/>
      <c r="BD337" s="113"/>
      <c r="BE337" s="113"/>
      <c r="BF337" s="113"/>
      <c r="BG337" s="113"/>
      <c r="BH337" s="113"/>
      <c r="BI337" s="113"/>
      <c r="BJ337" s="113"/>
      <c r="BK337" s="113"/>
      <c r="BL337" s="113"/>
      <c r="BM337" s="113"/>
      <c r="BN337" s="113"/>
      <c r="BO337" s="113"/>
      <c r="BP337" s="113"/>
      <c r="BQ337" s="113"/>
      <c r="BR337" s="113"/>
      <c r="BS337" s="113"/>
      <c r="BT337" s="113"/>
      <c r="BU337" s="113"/>
      <c r="BV337" s="113"/>
      <c r="BW337" s="113"/>
      <c r="BX337" s="113"/>
      <c r="BY337" s="113"/>
      <c r="BZ337" s="113"/>
      <c r="CA337" s="113"/>
      <c r="CB337" s="113"/>
    </row>
    <row r="338" spans="5:80" x14ac:dyDescent="0.25">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c r="AC338" s="113"/>
      <c r="AD338" s="113"/>
      <c r="AE338" s="113"/>
      <c r="AF338" s="113"/>
      <c r="AG338" s="113"/>
      <c r="AH338" s="113"/>
      <c r="AI338" s="113"/>
      <c r="AJ338" s="113"/>
      <c r="AK338" s="113"/>
      <c r="AL338" s="113"/>
      <c r="AM338" s="113"/>
      <c r="AN338" s="113"/>
      <c r="AO338" s="113"/>
      <c r="AP338" s="113"/>
      <c r="AQ338" s="113"/>
      <c r="AR338" s="113"/>
      <c r="AS338" s="113"/>
      <c r="AT338" s="113"/>
      <c r="AU338" s="113"/>
      <c r="AV338" s="113"/>
      <c r="AW338" s="113"/>
      <c r="AX338" s="113"/>
      <c r="AY338" s="113"/>
      <c r="AZ338" s="113"/>
      <c r="BA338" s="113"/>
      <c r="BB338" s="113"/>
      <c r="BC338" s="113"/>
      <c r="BD338" s="113"/>
      <c r="BE338" s="113"/>
      <c r="BF338" s="113"/>
      <c r="BG338" s="113"/>
      <c r="BH338" s="113"/>
      <c r="BI338" s="113"/>
      <c r="BJ338" s="113"/>
      <c r="BK338" s="113"/>
      <c r="BL338" s="113"/>
      <c r="BM338" s="113"/>
      <c r="BN338" s="113"/>
      <c r="BO338" s="113"/>
      <c r="BP338" s="113"/>
      <c r="BQ338" s="113"/>
      <c r="BR338" s="113"/>
      <c r="BS338" s="113"/>
      <c r="BT338" s="113"/>
      <c r="BU338" s="113"/>
      <c r="BV338" s="113"/>
      <c r="BW338" s="113"/>
      <c r="BX338" s="113"/>
      <c r="BY338" s="113"/>
      <c r="BZ338" s="113"/>
      <c r="CA338" s="113"/>
      <c r="CB338" s="113"/>
    </row>
    <row r="339" spans="5:80" x14ac:dyDescent="0.25">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c r="AC339" s="113"/>
      <c r="AD339" s="113"/>
      <c r="AE339" s="113"/>
      <c r="AF339" s="113"/>
      <c r="AG339" s="113"/>
      <c r="AH339" s="113"/>
      <c r="AI339" s="113"/>
      <c r="AJ339" s="113"/>
      <c r="AK339" s="113"/>
      <c r="AL339" s="113"/>
      <c r="AM339" s="113"/>
      <c r="AN339" s="113"/>
      <c r="AO339" s="113"/>
      <c r="AP339" s="113"/>
      <c r="AQ339" s="113"/>
      <c r="AR339" s="113"/>
      <c r="AS339" s="113"/>
      <c r="AT339" s="113"/>
      <c r="AU339" s="113"/>
      <c r="AV339" s="113"/>
      <c r="AW339" s="113"/>
      <c r="AX339" s="113"/>
      <c r="AY339" s="113"/>
      <c r="AZ339" s="113"/>
      <c r="BA339" s="113"/>
      <c r="BB339" s="113"/>
      <c r="BC339" s="113"/>
      <c r="BD339" s="113"/>
      <c r="BE339" s="113"/>
      <c r="BF339" s="113"/>
      <c r="BG339" s="113"/>
      <c r="BH339" s="113"/>
      <c r="BI339" s="113"/>
      <c r="BJ339" s="113"/>
      <c r="BK339" s="113"/>
      <c r="BL339" s="113"/>
      <c r="BM339" s="113"/>
      <c r="BN339" s="113"/>
      <c r="BO339" s="113"/>
      <c r="BP339" s="113"/>
      <c r="BQ339" s="113"/>
      <c r="BR339" s="113"/>
      <c r="BS339" s="113"/>
      <c r="BT339" s="113"/>
      <c r="BU339" s="113"/>
      <c r="BV339" s="113"/>
      <c r="BW339" s="113"/>
      <c r="BX339" s="113"/>
      <c r="BY339" s="113"/>
      <c r="BZ339" s="113"/>
      <c r="CA339" s="113"/>
      <c r="CB339" s="113"/>
    </row>
    <row r="340" spans="5:80" x14ac:dyDescent="0.25">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c r="AC340" s="113"/>
      <c r="AD340" s="113"/>
      <c r="AE340" s="113"/>
      <c r="AF340" s="113"/>
      <c r="AG340" s="113"/>
      <c r="AH340" s="113"/>
      <c r="AI340" s="113"/>
      <c r="AJ340" s="113"/>
      <c r="AK340" s="113"/>
      <c r="AL340" s="113"/>
      <c r="AM340" s="113"/>
      <c r="AN340" s="113"/>
      <c r="AO340" s="113"/>
      <c r="AP340" s="113"/>
      <c r="AQ340" s="113"/>
      <c r="AR340" s="113"/>
      <c r="AS340" s="113"/>
      <c r="AT340" s="113"/>
      <c r="AU340" s="113"/>
      <c r="AV340" s="113"/>
      <c r="AW340" s="113"/>
      <c r="AX340" s="113"/>
      <c r="AY340" s="113"/>
      <c r="AZ340" s="113"/>
      <c r="BA340" s="113"/>
      <c r="BB340" s="113"/>
      <c r="BC340" s="113"/>
      <c r="BD340" s="113"/>
      <c r="BE340" s="113"/>
      <c r="BF340" s="113"/>
      <c r="BG340" s="113"/>
      <c r="BH340" s="113"/>
      <c r="BI340" s="113"/>
      <c r="BJ340" s="113"/>
      <c r="BK340" s="113"/>
      <c r="BL340" s="113"/>
      <c r="BM340" s="113"/>
      <c r="BN340" s="113"/>
      <c r="BO340" s="113"/>
      <c r="BP340" s="113"/>
      <c r="BQ340" s="113"/>
      <c r="BR340" s="113"/>
      <c r="BS340" s="113"/>
      <c r="BT340" s="113"/>
      <c r="BU340" s="113"/>
      <c r="BV340" s="113"/>
      <c r="BW340" s="113"/>
      <c r="BX340" s="113"/>
      <c r="BY340" s="113"/>
      <c r="BZ340" s="113"/>
      <c r="CA340" s="113"/>
      <c r="CB340" s="113"/>
    </row>
    <row r="341" spans="5:80" x14ac:dyDescent="0.25">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c r="AC341" s="113"/>
      <c r="AD341" s="113"/>
      <c r="AE341" s="113"/>
      <c r="AF341" s="113"/>
      <c r="AG341" s="113"/>
      <c r="AH341" s="113"/>
      <c r="AI341" s="113"/>
      <c r="AJ341" s="113"/>
      <c r="AK341" s="113"/>
      <c r="AL341" s="113"/>
      <c r="AM341" s="113"/>
      <c r="AN341" s="113"/>
      <c r="AO341" s="113"/>
      <c r="AP341" s="113"/>
      <c r="AQ341" s="113"/>
      <c r="AR341" s="113"/>
      <c r="AS341" s="113"/>
      <c r="AT341" s="113"/>
      <c r="AU341" s="113"/>
      <c r="AV341" s="113"/>
      <c r="AW341" s="113"/>
      <c r="AX341" s="113"/>
      <c r="AY341" s="113"/>
      <c r="AZ341" s="113"/>
      <c r="BA341" s="113"/>
      <c r="BB341" s="113"/>
      <c r="BC341" s="113"/>
      <c r="BD341" s="113"/>
      <c r="BE341" s="113"/>
      <c r="BF341" s="113"/>
      <c r="BG341" s="113"/>
      <c r="BH341" s="113"/>
      <c r="BI341" s="113"/>
      <c r="BJ341" s="113"/>
      <c r="BK341" s="113"/>
      <c r="BL341" s="113"/>
      <c r="BM341" s="113"/>
      <c r="BN341" s="113"/>
      <c r="BO341" s="113"/>
      <c r="BP341" s="113"/>
      <c r="BQ341" s="113"/>
      <c r="BR341" s="113"/>
      <c r="BS341" s="113"/>
      <c r="BT341" s="113"/>
      <c r="BU341" s="113"/>
      <c r="BV341" s="113"/>
      <c r="BW341" s="113"/>
      <c r="BX341" s="113"/>
      <c r="BY341" s="113"/>
      <c r="BZ341" s="113"/>
      <c r="CA341" s="113"/>
      <c r="CB341" s="113"/>
    </row>
    <row r="342" spans="5:80" x14ac:dyDescent="0.25">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c r="AC342" s="113"/>
      <c r="AD342" s="113"/>
      <c r="AE342" s="113"/>
      <c r="AF342" s="113"/>
      <c r="AG342" s="113"/>
      <c r="AH342" s="113"/>
      <c r="AI342" s="113"/>
      <c r="AJ342" s="113"/>
      <c r="AK342" s="113"/>
      <c r="AL342" s="113"/>
      <c r="AM342" s="113"/>
      <c r="AN342" s="113"/>
      <c r="AO342" s="113"/>
      <c r="AP342" s="113"/>
      <c r="AQ342" s="113"/>
      <c r="AR342" s="113"/>
      <c r="AS342" s="113"/>
      <c r="AT342" s="113"/>
      <c r="AU342" s="113"/>
      <c r="AV342" s="113"/>
      <c r="AW342" s="113"/>
      <c r="AX342" s="113"/>
      <c r="AY342" s="113"/>
      <c r="AZ342" s="113"/>
      <c r="BA342" s="113"/>
      <c r="BB342" s="113"/>
      <c r="BC342" s="113"/>
      <c r="BD342" s="113"/>
      <c r="BE342" s="113"/>
      <c r="BF342" s="113"/>
      <c r="BG342" s="113"/>
      <c r="BH342" s="113"/>
      <c r="BI342" s="113"/>
      <c r="BJ342" s="113"/>
      <c r="BK342" s="113"/>
      <c r="BL342" s="113"/>
      <c r="BM342" s="113"/>
      <c r="BN342" s="113"/>
      <c r="BO342" s="113"/>
      <c r="BP342" s="113"/>
      <c r="BQ342" s="113"/>
      <c r="BR342" s="113"/>
      <c r="BS342" s="113"/>
      <c r="BT342" s="113"/>
      <c r="BU342" s="113"/>
      <c r="BV342" s="113"/>
      <c r="BW342" s="113"/>
      <c r="BX342" s="113"/>
      <c r="BY342" s="113"/>
      <c r="BZ342" s="113"/>
      <c r="CA342" s="113"/>
      <c r="CB342" s="113"/>
    </row>
    <row r="343" spans="5:80" x14ac:dyDescent="0.25">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c r="AC343" s="113"/>
      <c r="AD343" s="113"/>
      <c r="AE343" s="113"/>
      <c r="AF343" s="113"/>
      <c r="AG343" s="113"/>
      <c r="AH343" s="113"/>
      <c r="AI343" s="113"/>
      <c r="AJ343" s="113"/>
      <c r="AK343" s="113"/>
      <c r="AL343" s="113"/>
      <c r="AM343" s="113"/>
      <c r="AN343" s="113"/>
      <c r="AO343" s="113"/>
      <c r="AP343" s="113"/>
      <c r="AQ343" s="113"/>
      <c r="AR343" s="113"/>
      <c r="AS343" s="113"/>
      <c r="AT343" s="113"/>
      <c r="AU343" s="113"/>
      <c r="AV343" s="113"/>
      <c r="AW343" s="113"/>
      <c r="AX343" s="113"/>
      <c r="AY343" s="113"/>
      <c r="AZ343" s="113"/>
      <c r="BA343" s="113"/>
      <c r="BB343" s="113"/>
      <c r="BC343" s="113"/>
      <c r="BD343" s="113"/>
      <c r="BE343" s="113"/>
      <c r="BF343" s="113"/>
      <c r="BG343" s="113"/>
      <c r="BH343" s="113"/>
      <c r="BI343" s="113"/>
      <c r="BJ343" s="113"/>
      <c r="BK343" s="113"/>
      <c r="BL343" s="113"/>
      <c r="BM343" s="113"/>
      <c r="BN343" s="113"/>
      <c r="BO343" s="113"/>
      <c r="BP343" s="113"/>
      <c r="BQ343" s="113"/>
      <c r="BR343" s="113"/>
      <c r="BS343" s="113"/>
      <c r="BT343" s="113"/>
      <c r="BU343" s="113"/>
      <c r="BV343" s="113"/>
      <c r="BW343" s="113"/>
      <c r="BX343" s="113"/>
      <c r="BY343" s="113"/>
      <c r="BZ343" s="113"/>
      <c r="CA343" s="113"/>
      <c r="CB343" s="113"/>
    </row>
    <row r="344" spans="5:80" x14ac:dyDescent="0.25">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c r="AC344" s="113"/>
      <c r="AD344" s="113"/>
      <c r="AE344" s="113"/>
      <c r="AF344" s="113"/>
      <c r="AG344" s="113"/>
      <c r="AH344" s="113"/>
      <c r="AI344" s="113"/>
      <c r="AJ344" s="113"/>
      <c r="AK344" s="113"/>
      <c r="AL344" s="113"/>
      <c r="AM344" s="113"/>
      <c r="AN344" s="113"/>
      <c r="AO344" s="113"/>
      <c r="AP344" s="113"/>
      <c r="AQ344" s="113"/>
      <c r="AR344" s="113"/>
      <c r="AS344" s="113"/>
      <c r="AT344" s="113"/>
      <c r="AU344" s="113"/>
      <c r="AV344" s="113"/>
      <c r="AW344" s="113"/>
      <c r="AX344" s="113"/>
      <c r="AY344" s="113"/>
      <c r="AZ344" s="113"/>
      <c r="BA344" s="113"/>
      <c r="BB344" s="113"/>
      <c r="BC344" s="113"/>
      <c r="BD344" s="113"/>
      <c r="BE344" s="113"/>
      <c r="BF344" s="113"/>
      <c r="BG344" s="113"/>
      <c r="BH344" s="113"/>
      <c r="BI344" s="113"/>
      <c r="BJ344" s="113"/>
      <c r="BK344" s="113"/>
      <c r="BL344" s="113"/>
      <c r="BM344" s="113"/>
      <c r="BN344" s="113"/>
      <c r="BO344" s="113"/>
      <c r="BP344" s="113"/>
      <c r="BQ344" s="113"/>
      <c r="BR344" s="113"/>
      <c r="BS344" s="113"/>
      <c r="BT344" s="113"/>
      <c r="BU344" s="113"/>
      <c r="BV344" s="113"/>
      <c r="BW344" s="113"/>
      <c r="BX344" s="113"/>
      <c r="BY344" s="113"/>
      <c r="BZ344" s="113"/>
      <c r="CA344" s="113"/>
      <c r="CB344" s="113"/>
    </row>
    <row r="345" spans="5:80" x14ac:dyDescent="0.25">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c r="AC345" s="113"/>
      <c r="AD345" s="113"/>
      <c r="AE345" s="113"/>
      <c r="AF345" s="113"/>
      <c r="AG345" s="113"/>
      <c r="AH345" s="113"/>
      <c r="AI345" s="113"/>
      <c r="AJ345" s="113"/>
      <c r="AK345" s="113"/>
      <c r="AL345" s="113"/>
      <c r="AM345" s="113"/>
      <c r="AN345" s="113"/>
      <c r="AO345" s="113"/>
      <c r="AP345" s="113"/>
      <c r="AQ345" s="113"/>
      <c r="AR345" s="113"/>
      <c r="AS345" s="113"/>
      <c r="AT345" s="113"/>
      <c r="AU345" s="113"/>
      <c r="AV345" s="113"/>
      <c r="AW345" s="113"/>
      <c r="AX345" s="113"/>
      <c r="AY345" s="113"/>
      <c r="AZ345" s="113"/>
      <c r="BA345" s="113"/>
      <c r="BB345" s="113"/>
      <c r="BC345" s="113"/>
      <c r="BD345" s="113"/>
      <c r="BE345" s="113"/>
      <c r="BF345" s="113"/>
      <c r="BG345" s="113"/>
      <c r="BH345" s="113"/>
      <c r="BI345" s="113"/>
      <c r="BJ345" s="113"/>
      <c r="BK345" s="113"/>
      <c r="BL345" s="113"/>
      <c r="BM345" s="113"/>
      <c r="BN345" s="113"/>
      <c r="BO345" s="113"/>
      <c r="BP345" s="113"/>
      <c r="BQ345" s="113"/>
      <c r="BR345" s="113"/>
      <c r="BS345" s="113"/>
      <c r="BT345" s="113"/>
      <c r="BU345" s="113"/>
      <c r="BV345" s="113"/>
      <c r="BW345" s="113"/>
      <c r="BX345" s="113"/>
      <c r="BY345" s="113"/>
      <c r="BZ345" s="113"/>
      <c r="CA345" s="113"/>
      <c r="CB345" s="113"/>
    </row>
    <row r="346" spans="5:80" x14ac:dyDescent="0.25">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c r="AC346" s="113"/>
      <c r="AD346" s="113"/>
      <c r="AE346" s="113"/>
      <c r="AF346" s="113"/>
      <c r="AG346" s="113"/>
      <c r="AH346" s="113"/>
      <c r="AI346" s="113"/>
      <c r="AJ346" s="113"/>
      <c r="AK346" s="113"/>
      <c r="AL346" s="113"/>
      <c r="AM346" s="113"/>
      <c r="AN346" s="113"/>
      <c r="AO346" s="113"/>
      <c r="AP346" s="113"/>
      <c r="AQ346" s="113"/>
      <c r="AR346" s="113"/>
      <c r="AS346" s="113"/>
      <c r="AT346" s="113"/>
      <c r="AU346" s="113"/>
      <c r="AV346" s="113"/>
      <c r="AW346" s="113"/>
      <c r="AX346" s="113"/>
      <c r="AY346" s="113"/>
      <c r="AZ346" s="113"/>
      <c r="BA346" s="113"/>
      <c r="BB346" s="113"/>
      <c r="BC346" s="113"/>
      <c r="BD346" s="113"/>
      <c r="BE346" s="113"/>
      <c r="BF346" s="113"/>
      <c r="BG346" s="113"/>
      <c r="BH346" s="113"/>
      <c r="BI346" s="113"/>
      <c r="BJ346" s="113"/>
      <c r="BK346" s="113"/>
      <c r="BL346" s="113"/>
      <c r="BM346" s="113"/>
      <c r="BN346" s="113"/>
      <c r="BO346" s="113"/>
      <c r="BP346" s="113"/>
      <c r="BQ346" s="113"/>
      <c r="BR346" s="113"/>
      <c r="BS346" s="113"/>
      <c r="BT346" s="113"/>
      <c r="BU346" s="113"/>
      <c r="BV346" s="113"/>
      <c r="BW346" s="113"/>
      <c r="BX346" s="113"/>
      <c r="BY346" s="113"/>
      <c r="BZ346" s="113"/>
      <c r="CA346" s="113"/>
      <c r="CB346" s="113"/>
    </row>
    <row r="347" spans="5:80" x14ac:dyDescent="0.25">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c r="AC347" s="113"/>
      <c r="AD347" s="113"/>
      <c r="AE347" s="113"/>
      <c r="AF347" s="113"/>
      <c r="AG347" s="113"/>
      <c r="AH347" s="113"/>
      <c r="AI347" s="113"/>
      <c r="AJ347" s="113"/>
      <c r="AK347" s="113"/>
      <c r="AL347" s="113"/>
      <c r="AM347" s="113"/>
      <c r="AN347" s="113"/>
      <c r="AO347" s="113"/>
      <c r="AP347" s="113"/>
      <c r="AQ347" s="113"/>
      <c r="AR347" s="113"/>
      <c r="AS347" s="113"/>
      <c r="AT347" s="113"/>
      <c r="AU347" s="113"/>
      <c r="AV347" s="113"/>
      <c r="AW347" s="113"/>
      <c r="AX347" s="113"/>
      <c r="AY347" s="113"/>
      <c r="AZ347" s="113"/>
      <c r="BA347" s="113"/>
      <c r="BB347" s="113"/>
      <c r="BC347" s="113"/>
      <c r="BD347" s="113"/>
      <c r="BE347" s="113"/>
      <c r="BF347" s="113"/>
      <c r="BG347" s="113"/>
      <c r="BH347" s="113"/>
      <c r="BI347" s="113"/>
      <c r="BJ347" s="113"/>
      <c r="BK347" s="113"/>
      <c r="BL347" s="113"/>
      <c r="BM347" s="113"/>
      <c r="BN347" s="113"/>
      <c r="BO347" s="113"/>
      <c r="BP347" s="113"/>
      <c r="BQ347" s="113"/>
      <c r="BR347" s="113"/>
      <c r="BS347" s="113"/>
      <c r="BT347" s="113"/>
      <c r="BU347" s="113"/>
      <c r="BV347" s="113"/>
      <c r="BW347" s="113"/>
      <c r="BX347" s="113"/>
      <c r="BY347" s="113"/>
      <c r="BZ347" s="113"/>
      <c r="CA347" s="113"/>
      <c r="CB347" s="113"/>
    </row>
    <row r="348" spans="5:80" x14ac:dyDescent="0.25">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c r="AC348" s="113"/>
      <c r="AD348" s="113"/>
      <c r="AE348" s="113"/>
      <c r="AF348" s="113"/>
      <c r="AG348" s="113"/>
      <c r="AH348" s="113"/>
      <c r="AI348" s="113"/>
      <c r="AJ348" s="113"/>
      <c r="AK348" s="113"/>
      <c r="AL348" s="113"/>
      <c r="AM348" s="113"/>
      <c r="AN348" s="113"/>
      <c r="AO348" s="113"/>
      <c r="AP348" s="113"/>
      <c r="AQ348" s="113"/>
      <c r="AR348" s="113"/>
      <c r="AS348" s="113"/>
      <c r="AT348" s="113"/>
      <c r="AU348" s="113"/>
      <c r="AV348" s="113"/>
      <c r="AW348" s="113"/>
      <c r="AX348" s="113"/>
      <c r="AY348" s="113"/>
      <c r="AZ348" s="113"/>
      <c r="BA348" s="113"/>
      <c r="BB348" s="113"/>
      <c r="BC348" s="113"/>
      <c r="BD348" s="113"/>
      <c r="BE348" s="113"/>
      <c r="BF348" s="113"/>
      <c r="BG348" s="113"/>
      <c r="BH348" s="113"/>
      <c r="BI348" s="113"/>
      <c r="BJ348" s="113"/>
      <c r="BK348" s="113"/>
      <c r="BL348" s="113"/>
      <c r="BM348" s="113"/>
      <c r="BN348" s="113"/>
      <c r="BO348" s="113"/>
      <c r="BP348" s="113"/>
      <c r="BQ348" s="113"/>
      <c r="BR348" s="113"/>
      <c r="BS348" s="113"/>
      <c r="BT348" s="113"/>
      <c r="BU348" s="113"/>
      <c r="BV348" s="113"/>
      <c r="BW348" s="113"/>
      <c r="BX348" s="113"/>
      <c r="BY348" s="113"/>
      <c r="BZ348" s="113"/>
      <c r="CA348" s="113"/>
      <c r="CB348" s="113"/>
    </row>
    <row r="349" spans="5:80" x14ac:dyDescent="0.25">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c r="AC349" s="113"/>
      <c r="AD349" s="113"/>
      <c r="AE349" s="113"/>
      <c r="AF349" s="113"/>
      <c r="AG349" s="113"/>
      <c r="AH349" s="113"/>
      <c r="AI349" s="113"/>
      <c r="AJ349" s="113"/>
      <c r="AK349" s="113"/>
      <c r="AL349" s="113"/>
      <c r="AM349" s="113"/>
      <c r="AN349" s="113"/>
      <c r="AO349" s="113"/>
      <c r="AP349" s="113"/>
      <c r="AQ349" s="113"/>
      <c r="AR349" s="113"/>
      <c r="AS349" s="113"/>
      <c r="AT349" s="113"/>
      <c r="AU349" s="113"/>
      <c r="AV349" s="113"/>
      <c r="AW349" s="113"/>
      <c r="AX349" s="113"/>
      <c r="AY349" s="113"/>
      <c r="AZ349" s="113"/>
      <c r="BA349" s="113"/>
      <c r="BB349" s="113"/>
      <c r="BC349" s="113"/>
      <c r="BD349" s="113"/>
      <c r="BE349" s="113"/>
      <c r="BF349" s="113"/>
      <c r="BG349" s="113"/>
      <c r="BH349" s="113"/>
      <c r="BI349" s="113"/>
      <c r="BJ349" s="113"/>
      <c r="BK349" s="113"/>
      <c r="BL349" s="113"/>
      <c r="BM349" s="113"/>
      <c r="BN349" s="113"/>
      <c r="BO349" s="113"/>
      <c r="BP349" s="113"/>
      <c r="BQ349" s="113"/>
      <c r="BR349" s="113"/>
      <c r="BS349" s="113"/>
      <c r="BT349" s="113"/>
      <c r="BU349" s="113"/>
      <c r="BV349" s="113"/>
      <c r="BW349" s="113"/>
      <c r="BX349" s="113"/>
      <c r="BY349" s="113"/>
      <c r="BZ349" s="113"/>
      <c r="CA349" s="113"/>
      <c r="CB349" s="113"/>
    </row>
    <row r="350" spans="5:80" x14ac:dyDescent="0.25">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c r="AC350" s="113"/>
      <c r="AD350" s="113"/>
      <c r="AE350" s="113"/>
      <c r="AF350" s="113"/>
      <c r="AG350" s="113"/>
      <c r="AH350" s="113"/>
      <c r="AI350" s="113"/>
      <c r="AJ350" s="113"/>
      <c r="AK350" s="113"/>
      <c r="AL350" s="113"/>
      <c r="AM350" s="113"/>
      <c r="AN350" s="113"/>
      <c r="AO350" s="113"/>
      <c r="AP350" s="113"/>
      <c r="AQ350" s="113"/>
      <c r="AR350" s="113"/>
      <c r="AS350" s="113"/>
      <c r="AT350" s="113"/>
      <c r="AU350" s="113"/>
      <c r="AV350" s="113"/>
      <c r="AW350" s="113"/>
      <c r="AX350" s="113"/>
      <c r="AY350" s="113"/>
      <c r="AZ350" s="113"/>
      <c r="BA350" s="113"/>
      <c r="BB350" s="113"/>
      <c r="BC350" s="113"/>
      <c r="BD350" s="113"/>
      <c r="BE350" s="113"/>
      <c r="BF350" s="113"/>
      <c r="BG350" s="113"/>
      <c r="BH350" s="113"/>
      <c r="BI350" s="113"/>
      <c r="BJ350" s="113"/>
      <c r="BK350" s="113"/>
      <c r="BL350" s="113"/>
      <c r="BM350" s="113"/>
      <c r="BN350" s="113"/>
      <c r="BO350" s="113"/>
      <c r="BP350" s="113"/>
      <c r="BQ350" s="113"/>
      <c r="BR350" s="113"/>
      <c r="BS350" s="113"/>
      <c r="BT350" s="113"/>
      <c r="BU350" s="113"/>
      <c r="BV350" s="113"/>
      <c r="BW350" s="113"/>
      <c r="BX350" s="113"/>
      <c r="BY350" s="113"/>
      <c r="BZ350" s="113"/>
      <c r="CA350" s="113"/>
      <c r="CB350" s="113"/>
    </row>
    <row r="351" spans="5:80" x14ac:dyDescent="0.25">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3"/>
      <c r="AY351" s="113"/>
      <c r="AZ351" s="113"/>
      <c r="BA351" s="113"/>
      <c r="BB351" s="113"/>
      <c r="BC351" s="113"/>
      <c r="BD351" s="113"/>
      <c r="BE351" s="113"/>
      <c r="BF351" s="113"/>
      <c r="BG351" s="113"/>
      <c r="BH351" s="113"/>
      <c r="BI351" s="113"/>
      <c r="BJ351" s="113"/>
      <c r="BK351" s="113"/>
      <c r="BL351" s="113"/>
      <c r="BM351" s="113"/>
      <c r="BN351" s="113"/>
      <c r="BO351" s="113"/>
      <c r="BP351" s="113"/>
      <c r="BQ351" s="113"/>
      <c r="BR351" s="113"/>
      <c r="BS351" s="113"/>
      <c r="BT351" s="113"/>
      <c r="BU351" s="113"/>
      <c r="BV351" s="113"/>
      <c r="BW351" s="113"/>
      <c r="BX351" s="113"/>
      <c r="BY351" s="113"/>
      <c r="BZ351" s="113"/>
      <c r="CA351" s="113"/>
      <c r="CB351" s="113"/>
    </row>
    <row r="352" spans="5:80" x14ac:dyDescent="0.25">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c r="AC352" s="113"/>
      <c r="AD352" s="113"/>
      <c r="AE352" s="113"/>
      <c r="AF352" s="113"/>
      <c r="AG352" s="113"/>
      <c r="AH352" s="113"/>
      <c r="AI352" s="113"/>
      <c r="AJ352" s="113"/>
      <c r="AK352" s="113"/>
      <c r="AL352" s="113"/>
      <c r="AM352" s="113"/>
      <c r="AN352" s="113"/>
      <c r="AO352" s="113"/>
      <c r="AP352" s="113"/>
      <c r="AQ352" s="113"/>
      <c r="AR352" s="113"/>
      <c r="AS352" s="113"/>
      <c r="AT352" s="113"/>
      <c r="AU352" s="113"/>
      <c r="AV352" s="113"/>
      <c r="AW352" s="113"/>
      <c r="AX352" s="113"/>
      <c r="AY352" s="113"/>
      <c r="AZ352" s="113"/>
      <c r="BA352" s="113"/>
      <c r="BB352" s="113"/>
      <c r="BC352" s="113"/>
      <c r="BD352" s="113"/>
      <c r="BE352" s="113"/>
      <c r="BF352" s="113"/>
      <c r="BG352" s="113"/>
      <c r="BH352" s="113"/>
      <c r="BI352" s="113"/>
      <c r="BJ352" s="113"/>
      <c r="BK352" s="113"/>
      <c r="BL352" s="113"/>
      <c r="BM352" s="113"/>
      <c r="BN352" s="113"/>
      <c r="BO352" s="113"/>
      <c r="BP352" s="113"/>
      <c r="BQ352" s="113"/>
      <c r="BR352" s="113"/>
      <c r="BS352" s="113"/>
      <c r="BT352" s="113"/>
      <c r="BU352" s="113"/>
      <c r="BV352" s="113"/>
      <c r="BW352" s="113"/>
      <c r="BX352" s="113"/>
      <c r="BY352" s="113"/>
      <c r="BZ352" s="113"/>
      <c r="CA352" s="113"/>
      <c r="CB352" s="113"/>
    </row>
    <row r="353" spans="5:80" x14ac:dyDescent="0.25">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3"/>
      <c r="AY353" s="113"/>
      <c r="AZ353" s="113"/>
      <c r="BA353" s="113"/>
      <c r="BB353" s="113"/>
      <c r="BC353" s="113"/>
      <c r="BD353" s="113"/>
      <c r="BE353" s="113"/>
      <c r="BF353" s="113"/>
      <c r="BG353" s="113"/>
      <c r="BH353" s="113"/>
      <c r="BI353" s="113"/>
      <c r="BJ353" s="113"/>
      <c r="BK353" s="113"/>
      <c r="BL353" s="113"/>
      <c r="BM353" s="113"/>
      <c r="BN353" s="113"/>
      <c r="BO353" s="113"/>
      <c r="BP353" s="113"/>
      <c r="BQ353" s="113"/>
      <c r="BR353" s="113"/>
      <c r="BS353" s="113"/>
      <c r="BT353" s="113"/>
      <c r="BU353" s="113"/>
      <c r="BV353" s="113"/>
      <c r="BW353" s="113"/>
      <c r="BX353" s="113"/>
      <c r="BY353" s="113"/>
      <c r="BZ353" s="113"/>
      <c r="CA353" s="113"/>
      <c r="CB353" s="113"/>
    </row>
    <row r="354" spans="5:80" x14ac:dyDescent="0.25">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c r="AC354" s="113"/>
      <c r="AD354" s="113"/>
      <c r="AE354" s="113"/>
      <c r="AF354" s="113"/>
      <c r="AG354" s="113"/>
      <c r="AH354" s="113"/>
      <c r="AI354" s="113"/>
      <c r="AJ354" s="113"/>
      <c r="AK354" s="113"/>
      <c r="AL354" s="113"/>
      <c r="AM354" s="113"/>
      <c r="AN354" s="113"/>
      <c r="AO354" s="113"/>
      <c r="AP354" s="113"/>
      <c r="AQ354" s="113"/>
      <c r="AR354" s="113"/>
      <c r="AS354" s="113"/>
      <c r="AT354" s="113"/>
      <c r="AU354" s="113"/>
      <c r="AV354" s="113"/>
      <c r="AW354" s="113"/>
      <c r="AX354" s="113"/>
      <c r="AY354" s="113"/>
      <c r="AZ354" s="113"/>
      <c r="BA354" s="113"/>
      <c r="BB354" s="113"/>
      <c r="BC354" s="113"/>
      <c r="BD354" s="113"/>
      <c r="BE354" s="113"/>
      <c r="BF354" s="113"/>
      <c r="BG354" s="113"/>
      <c r="BH354" s="113"/>
      <c r="BI354" s="113"/>
      <c r="BJ354" s="113"/>
      <c r="BK354" s="113"/>
      <c r="BL354" s="113"/>
      <c r="BM354" s="113"/>
      <c r="BN354" s="113"/>
      <c r="BO354" s="113"/>
      <c r="BP354" s="113"/>
      <c r="BQ354" s="113"/>
      <c r="BR354" s="113"/>
      <c r="BS354" s="113"/>
      <c r="BT354" s="113"/>
      <c r="BU354" s="113"/>
      <c r="BV354" s="113"/>
      <c r="BW354" s="113"/>
      <c r="BX354" s="113"/>
      <c r="BY354" s="113"/>
      <c r="BZ354" s="113"/>
      <c r="CA354" s="113"/>
      <c r="CB354" s="113"/>
    </row>
    <row r="355" spans="5:80" x14ac:dyDescent="0.25">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c r="AC355" s="113"/>
      <c r="AD355" s="113"/>
      <c r="AE355" s="113"/>
      <c r="AF355" s="113"/>
      <c r="AG355" s="113"/>
      <c r="AH355" s="113"/>
      <c r="AI355" s="113"/>
      <c r="AJ355" s="113"/>
      <c r="AK355" s="113"/>
      <c r="AL355" s="113"/>
      <c r="AM355" s="113"/>
      <c r="AN355" s="113"/>
      <c r="AO355" s="113"/>
      <c r="AP355" s="113"/>
      <c r="AQ355" s="113"/>
      <c r="AR355" s="113"/>
      <c r="AS355" s="113"/>
      <c r="AT355" s="113"/>
      <c r="AU355" s="113"/>
      <c r="AV355" s="113"/>
      <c r="AW355" s="113"/>
      <c r="AX355" s="113"/>
      <c r="AY355" s="113"/>
      <c r="AZ355" s="113"/>
      <c r="BA355" s="113"/>
      <c r="BB355" s="113"/>
      <c r="BC355" s="113"/>
      <c r="BD355" s="113"/>
      <c r="BE355" s="113"/>
      <c r="BF355" s="113"/>
      <c r="BG355" s="113"/>
      <c r="BH355" s="113"/>
      <c r="BI355" s="113"/>
      <c r="BJ355" s="113"/>
      <c r="BK355" s="113"/>
      <c r="BL355" s="113"/>
      <c r="BM355" s="113"/>
      <c r="BN355" s="113"/>
      <c r="BO355" s="113"/>
      <c r="BP355" s="113"/>
      <c r="BQ355" s="113"/>
      <c r="BR355" s="113"/>
      <c r="BS355" s="113"/>
      <c r="BT355" s="113"/>
      <c r="BU355" s="113"/>
      <c r="BV355" s="113"/>
      <c r="BW355" s="113"/>
      <c r="BX355" s="113"/>
      <c r="BY355" s="113"/>
      <c r="BZ355" s="113"/>
      <c r="CA355" s="113"/>
      <c r="CB355" s="113"/>
    </row>
    <row r="356" spans="5:80" x14ac:dyDescent="0.25">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c r="AC356" s="113"/>
      <c r="AD356" s="113"/>
      <c r="AE356" s="113"/>
      <c r="AF356" s="113"/>
      <c r="AG356" s="113"/>
      <c r="AH356" s="113"/>
      <c r="AI356" s="113"/>
      <c r="AJ356" s="113"/>
      <c r="AK356" s="113"/>
      <c r="AL356" s="113"/>
      <c r="AM356" s="113"/>
      <c r="AN356" s="113"/>
      <c r="AO356" s="113"/>
      <c r="AP356" s="113"/>
      <c r="AQ356" s="113"/>
      <c r="AR356" s="113"/>
      <c r="AS356" s="113"/>
      <c r="AT356" s="113"/>
      <c r="AU356" s="113"/>
      <c r="AV356" s="113"/>
      <c r="AW356" s="113"/>
      <c r="AX356" s="113"/>
      <c r="AY356" s="113"/>
      <c r="AZ356" s="113"/>
      <c r="BA356" s="113"/>
      <c r="BB356" s="113"/>
      <c r="BC356" s="113"/>
      <c r="BD356" s="113"/>
      <c r="BE356" s="113"/>
      <c r="BF356" s="113"/>
      <c r="BG356" s="113"/>
      <c r="BH356" s="113"/>
      <c r="BI356" s="113"/>
      <c r="BJ356" s="113"/>
      <c r="BK356" s="113"/>
      <c r="BL356" s="113"/>
      <c r="BM356" s="113"/>
      <c r="BN356" s="113"/>
      <c r="BO356" s="113"/>
      <c r="BP356" s="113"/>
      <c r="BQ356" s="113"/>
      <c r="BR356" s="113"/>
      <c r="BS356" s="113"/>
      <c r="BT356" s="113"/>
      <c r="BU356" s="113"/>
      <c r="BV356" s="113"/>
      <c r="BW356" s="113"/>
      <c r="BX356" s="113"/>
      <c r="BY356" s="113"/>
      <c r="BZ356" s="113"/>
      <c r="CA356" s="113"/>
      <c r="CB356" s="113"/>
    </row>
    <row r="357" spans="5:80" x14ac:dyDescent="0.25">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3"/>
      <c r="AY357" s="113"/>
      <c r="AZ357" s="113"/>
      <c r="BA357" s="113"/>
      <c r="BB357" s="113"/>
      <c r="BC357" s="113"/>
      <c r="BD357" s="113"/>
      <c r="BE357" s="113"/>
      <c r="BF357" s="113"/>
      <c r="BG357" s="113"/>
      <c r="BH357" s="113"/>
      <c r="BI357" s="113"/>
      <c r="BJ357" s="113"/>
      <c r="BK357" s="113"/>
      <c r="BL357" s="113"/>
      <c r="BM357" s="113"/>
      <c r="BN357" s="113"/>
      <c r="BO357" s="113"/>
      <c r="BP357" s="113"/>
      <c r="BQ357" s="113"/>
      <c r="BR357" s="113"/>
      <c r="BS357" s="113"/>
      <c r="BT357" s="113"/>
      <c r="BU357" s="113"/>
      <c r="BV357" s="113"/>
      <c r="BW357" s="113"/>
      <c r="BX357" s="113"/>
      <c r="BY357" s="113"/>
      <c r="BZ357" s="113"/>
      <c r="CA357" s="113"/>
      <c r="CB357" s="113"/>
    </row>
    <row r="358" spans="5:80" x14ac:dyDescent="0.25">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c r="AC358" s="113"/>
      <c r="AD358" s="113"/>
      <c r="AE358" s="113"/>
      <c r="AF358" s="113"/>
      <c r="AG358" s="113"/>
      <c r="AH358" s="113"/>
      <c r="AI358" s="113"/>
      <c r="AJ358" s="113"/>
      <c r="AK358" s="113"/>
      <c r="AL358" s="113"/>
      <c r="AM358" s="113"/>
      <c r="AN358" s="113"/>
      <c r="AO358" s="113"/>
      <c r="AP358" s="113"/>
      <c r="AQ358" s="113"/>
      <c r="AR358" s="113"/>
      <c r="AS358" s="113"/>
      <c r="AT358" s="113"/>
      <c r="AU358" s="113"/>
      <c r="AV358" s="113"/>
      <c r="AW358" s="113"/>
      <c r="AX358" s="113"/>
      <c r="AY358" s="113"/>
      <c r="AZ358" s="113"/>
      <c r="BA358" s="113"/>
      <c r="BB358" s="113"/>
      <c r="BC358" s="113"/>
      <c r="BD358" s="113"/>
      <c r="BE358" s="113"/>
      <c r="BF358" s="113"/>
      <c r="BG358" s="113"/>
      <c r="BH358" s="113"/>
      <c r="BI358" s="113"/>
      <c r="BJ358" s="113"/>
      <c r="BK358" s="113"/>
      <c r="BL358" s="113"/>
      <c r="BM358" s="113"/>
      <c r="BN358" s="113"/>
      <c r="BO358" s="113"/>
      <c r="BP358" s="113"/>
      <c r="BQ358" s="113"/>
      <c r="BR358" s="113"/>
      <c r="BS358" s="113"/>
      <c r="BT358" s="113"/>
      <c r="BU358" s="113"/>
      <c r="BV358" s="113"/>
      <c r="BW358" s="113"/>
      <c r="BX358" s="113"/>
      <c r="BY358" s="113"/>
      <c r="BZ358" s="113"/>
      <c r="CA358" s="113"/>
      <c r="CB358" s="113"/>
    </row>
    <row r="359" spans="5:80" x14ac:dyDescent="0.25">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c r="AC359" s="113"/>
      <c r="AD359" s="113"/>
      <c r="AE359" s="113"/>
      <c r="AF359" s="113"/>
      <c r="AG359" s="113"/>
      <c r="AH359" s="113"/>
      <c r="AI359" s="113"/>
      <c r="AJ359" s="113"/>
      <c r="AK359" s="113"/>
      <c r="AL359" s="113"/>
      <c r="AM359" s="113"/>
      <c r="AN359" s="113"/>
      <c r="AO359" s="113"/>
      <c r="AP359" s="113"/>
      <c r="AQ359" s="113"/>
      <c r="AR359" s="113"/>
      <c r="AS359" s="113"/>
      <c r="AT359" s="113"/>
      <c r="AU359" s="113"/>
      <c r="AV359" s="113"/>
      <c r="AW359" s="113"/>
      <c r="AX359" s="113"/>
      <c r="AY359" s="113"/>
      <c r="AZ359" s="113"/>
      <c r="BA359" s="113"/>
      <c r="BB359" s="113"/>
      <c r="BC359" s="113"/>
      <c r="BD359" s="113"/>
      <c r="BE359" s="113"/>
      <c r="BF359" s="113"/>
      <c r="BG359" s="113"/>
      <c r="BH359" s="113"/>
      <c r="BI359" s="113"/>
      <c r="BJ359" s="113"/>
      <c r="BK359" s="113"/>
      <c r="BL359" s="113"/>
      <c r="BM359" s="113"/>
      <c r="BN359" s="113"/>
      <c r="BO359" s="113"/>
      <c r="BP359" s="113"/>
      <c r="BQ359" s="113"/>
      <c r="BR359" s="113"/>
      <c r="BS359" s="113"/>
      <c r="BT359" s="113"/>
      <c r="BU359" s="113"/>
      <c r="BV359" s="113"/>
      <c r="BW359" s="113"/>
      <c r="BX359" s="113"/>
      <c r="BY359" s="113"/>
      <c r="BZ359" s="113"/>
      <c r="CA359" s="113"/>
      <c r="CB359" s="113"/>
    </row>
    <row r="360" spans="5:80" x14ac:dyDescent="0.25">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c r="AC360" s="113"/>
      <c r="AD360" s="113"/>
      <c r="AE360" s="113"/>
      <c r="AF360" s="113"/>
      <c r="AG360" s="113"/>
      <c r="AH360" s="113"/>
      <c r="AI360" s="113"/>
      <c r="AJ360" s="113"/>
      <c r="AK360" s="113"/>
      <c r="AL360" s="113"/>
      <c r="AM360" s="113"/>
      <c r="AN360" s="113"/>
      <c r="AO360" s="113"/>
      <c r="AP360" s="113"/>
      <c r="AQ360" s="113"/>
      <c r="AR360" s="113"/>
      <c r="AS360" s="113"/>
      <c r="AT360" s="113"/>
      <c r="AU360" s="113"/>
      <c r="AV360" s="113"/>
      <c r="AW360" s="113"/>
      <c r="AX360" s="113"/>
      <c r="AY360" s="113"/>
      <c r="AZ360" s="113"/>
      <c r="BA360" s="113"/>
      <c r="BB360" s="113"/>
      <c r="BC360" s="113"/>
      <c r="BD360" s="113"/>
      <c r="BE360" s="113"/>
      <c r="BF360" s="113"/>
      <c r="BG360" s="113"/>
      <c r="BH360" s="113"/>
      <c r="BI360" s="113"/>
      <c r="BJ360" s="113"/>
      <c r="BK360" s="113"/>
      <c r="BL360" s="113"/>
      <c r="BM360" s="113"/>
      <c r="BN360" s="113"/>
      <c r="BO360" s="113"/>
      <c r="BP360" s="113"/>
      <c r="BQ360" s="113"/>
      <c r="BR360" s="113"/>
      <c r="BS360" s="113"/>
      <c r="BT360" s="113"/>
      <c r="BU360" s="113"/>
      <c r="BV360" s="113"/>
      <c r="BW360" s="113"/>
      <c r="BX360" s="113"/>
      <c r="BY360" s="113"/>
      <c r="BZ360" s="113"/>
      <c r="CA360" s="113"/>
      <c r="CB360" s="113"/>
    </row>
    <row r="361" spans="5:80" x14ac:dyDescent="0.25">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c r="AC361" s="113"/>
      <c r="AD361" s="113"/>
      <c r="AE361" s="113"/>
      <c r="AF361" s="113"/>
      <c r="AG361" s="113"/>
      <c r="AH361" s="113"/>
      <c r="AI361" s="113"/>
      <c r="AJ361" s="113"/>
      <c r="AK361" s="113"/>
      <c r="AL361" s="113"/>
      <c r="AM361" s="113"/>
      <c r="AN361" s="113"/>
      <c r="AO361" s="113"/>
      <c r="AP361" s="113"/>
      <c r="AQ361" s="113"/>
      <c r="AR361" s="113"/>
      <c r="AS361" s="113"/>
      <c r="AT361" s="113"/>
      <c r="AU361" s="113"/>
      <c r="AV361" s="113"/>
      <c r="AW361" s="113"/>
      <c r="AX361" s="113"/>
      <c r="AY361" s="113"/>
      <c r="AZ361" s="113"/>
      <c r="BA361" s="113"/>
      <c r="BB361" s="113"/>
      <c r="BC361" s="113"/>
      <c r="BD361" s="113"/>
      <c r="BE361" s="113"/>
      <c r="BF361" s="113"/>
      <c r="BG361" s="113"/>
      <c r="BH361" s="113"/>
      <c r="BI361" s="113"/>
      <c r="BJ361" s="113"/>
      <c r="BK361" s="113"/>
      <c r="BL361" s="113"/>
      <c r="BM361" s="113"/>
      <c r="BN361" s="113"/>
      <c r="BO361" s="113"/>
      <c r="BP361" s="113"/>
      <c r="BQ361" s="113"/>
      <c r="BR361" s="113"/>
      <c r="BS361" s="113"/>
      <c r="BT361" s="113"/>
      <c r="BU361" s="113"/>
      <c r="BV361" s="113"/>
      <c r="BW361" s="113"/>
      <c r="BX361" s="113"/>
      <c r="BY361" s="113"/>
      <c r="BZ361" s="113"/>
      <c r="CA361" s="113"/>
      <c r="CB361" s="113"/>
    </row>
    <row r="362" spans="5:80" x14ac:dyDescent="0.25">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c r="AC362" s="113"/>
      <c r="AD362" s="113"/>
      <c r="AE362" s="113"/>
      <c r="AF362" s="113"/>
      <c r="AG362" s="113"/>
      <c r="AH362" s="113"/>
      <c r="AI362" s="113"/>
      <c r="AJ362" s="113"/>
      <c r="AK362" s="113"/>
      <c r="AL362" s="113"/>
      <c r="AM362" s="113"/>
      <c r="AN362" s="113"/>
      <c r="AO362" s="113"/>
      <c r="AP362" s="113"/>
      <c r="AQ362" s="113"/>
      <c r="AR362" s="113"/>
      <c r="AS362" s="113"/>
      <c r="AT362" s="113"/>
      <c r="AU362" s="113"/>
      <c r="AV362" s="113"/>
      <c r="AW362" s="113"/>
      <c r="AX362" s="113"/>
      <c r="AY362" s="113"/>
      <c r="AZ362" s="113"/>
      <c r="BA362" s="113"/>
      <c r="BB362" s="113"/>
      <c r="BC362" s="113"/>
      <c r="BD362" s="113"/>
      <c r="BE362" s="113"/>
      <c r="BF362" s="113"/>
      <c r="BG362" s="113"/>
      <c r="BH362" s="113"/>
      <c r="BI362" s="113"/>
      <c r="BJ362" s="113"/>
      <c r="BK362" s="113"/>
      <c r="BL362" s="113"/>
      <c r="BM362" s="113"/>
      <c r="BN362" s="113"/>
      <c r="BO362" s="113"/>
      <c r="BP362" s="113"/>
      <c r="BQ362" s="113"/>
      <c r="BR362" s="113"/>
      <c r="BS362" s="113"/>
      <c r="BT362" s="113"/>
      <c r="BU362" s="113"/>
      <c r="BV362" s="113"/>
      <c r="BW362" s="113"/>
      <c r="BX362" s="113"/>
      <c r="BY362" s="113"/>
      <c r="BZ362" s="113"/>
      <c r="CA362" s="113"/>
      <c r="CB362" s="113"/>
    </row>
    <row r="363" spans="5:80" x14ac:dyDescent="0.25">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3"/>
      <c r="AY363" s="113"/>
      <c r="AZ363" s="113"/>
      <c r="BA363" s="113"/>
      <c r="BB363" s="113"/>
      <c r="BC363" s="113"/>
      <c r="BD363" s="113"/>
      <c r="BE363" s="113"/>
      <c r="BF363" s="113"/>
      <c r="BG363" s="113"/>
      <c r="BH363" s="113"/>
      <c r="BI363" s="113"/>
      <c r="BJ363" s="113"/>
      <c r="BK363" s="113"/>
      <c r="BL363" s="113"/>
      <c r="BM363" s="113"/>
      <c r="BN363" s="113"/>
      <c r="BO363" s="113"/>
      <c r="BP363" s="113"/>
      <c r="BQ363" s="113"/>
      <c r="BR363" s="113"/>
      <c r="BS363" s="113"/>
      <c r="BT363" s="113"/>
      <c r="BU363" s="113"/>
      <c r="BV363" s="113"/>
      <c r="BW363" s="113"/>
      <c r="BX363" s="113"/>
      <c r="BY363" s="113"/>
      <c r="BZ363" s="113"/>
      <c r="CA363" s="113"/>
      <c r="CB363" s="113"/>
    </row>
    <row r="364" spans="5:80" x14ac:dyDescent="0.25">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c r="AC364" s="113"/>
      <c r="AD364" s="113"/>
      <c r="AE364" s="113"/>
      <c r="AF364" s="113"/>
      <c r="AG364" s="113"/>
      <c r="AH364" s="113"/>
      <c r="AI364" s="113"/>
      <c r="AJ364" s="113"/>
      <c r="AK364" s="113"/>
      <c r="AL364" s="113"/>
      <c r="AM364" s="113"/>
      <c r="AN364" s="113"/>
      <c r="AO364" s="113"/>
      <c r="AP364" s="113"/>
      <c r="AQ364" s="113"/>
      <c r="AR364" s="113"/>
      <c r="AS364" s="113"/>
      <c r="AT364" s="113"/>
      <c r="AU364" s="113"/>
      <c r="AV364" s="113"/>
      <c r="AW364" s="113"/>
      <c r="AX364" s="113"/>
      <c r="AY364" s="113"/>
      <c r="AZ364" s="113"/>
      <c r="BA364" s="113"/>
      <c r="BB364" s="113"/>
      <c r="BC364" s="113"/>
      <c r="BD364" s="113"/>
      <c r="BE364" s="113"/>
      <c r="BF364" s="113"/>
      <c r="BG364" s="113"/>
      <c r="BH364" s="113"/>
      <c r="BI364" s="113"/>
      <c r="BJ364" s="113"/>
      <c r="BK364" s="113"/>
      <c r="BL364" s="113"/>
      <c r="BM364" s="113"/>
      <c r="BN364" s="113"/>
      <c r="BO364" s="113"/>
      <c r="BP364" s="113"/>
      <c r="BQ364" s="113"/>
      <c r="BR364" s="113"/>
      <c r="BS364" s="113"/>
      <c r="BT364" s="113"/>
      <c r="BU364" s="113"/>
      <c r="BV364" s="113"/>
      <c r="BW364" s="113"/>
      <c r="BX364" s="113"/>
      <c r="BY364" s="113"/>
      <c r="BZ364" s="113"/>
      <c r="CA364" s="113"/>
      <c r="CB364" s="113"/>
    </row>
    <row r="365" spans="5:80" x14ac:dyDescent="0.25">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3"/>
      <c r="AY365" s="113"/>
      <c r="AZ365" s="113"/>
      <c r="BA365" s="113"/>
      <c r="BB365" s="113"/>
      <c r="BC365" s="113"/>
      <c r="BD365" s="113"/>
      <c r="BE365" s="113"/>
      <c r="BF365" s="113"/>
      <c r="BG365" s="113"/>
      <c r="BH365" s="113"/>
      <c r="BI365" s="113"/>
      <c r="BJ365" s="113"/>
      <c r="BK365" s="113"/>
      <c r="BL365" s="113"/>
      <c r="BM365" s="113"/>
      <c r="BN365" s="113"/>
      <c r="BO365" s="113"/>
      <c r="BP365" s="113"/>
      <c r="BQ365" s="113"/>
      <c r="BR365" s="113"/>
      <c r="BS365" s="113"/>
      <c r="BT365" s="113"/>
      <c r="BU365" s="113"/>
      <c r="BV365" s="113"/>
      <c r="BW365" s="113"/>
      <c r="BX365" s="113"/>
      <c r="BY365" s="113"/>
      <c r="BZ365" s="113"/>
      <c r="CA365" s="113"/>
      <c r="CB365" s="113"/>
    </row>
    <row r="366" spans="5:80" x14ac:dyDescent="0.25">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c r="AC366" s="113"/>
      <c r="AD366" s="113"/>
      <c r="AE366" s="113"/>
      <c r="AF366" s="113"/>
      <c r="AG366" s="113"/>
      <c r="AH366" s="113"/>
      <c r="AI366" s="113"/>
      <c r="AJ366" s="113"/>
      <c r="AK366" s="113"/>
      <c r="AL366" s="113"/>
      <c r="AM366" s="113"/>
      <c r="AN366" s="113"/>
      <c r="AO366" s="113"/>
      <c r="AP366" s="113"/>
      <c r="AQ366" s="113"/>
      <c r="AR366" s="113"/>
      <c r="AS366" s="113"/>
      <c r="AT366" s="113"/>
      <c r="AU366" s="113"/>
      <c r="AV366" s="113"/>
      <c r="AW366" s="113"/>
      <c r="AX366" s="113"/>
      <c r="AY366" s="113"/>
      <c r="AZ366" s="113"/>
      <c r="BA366" s="113"/>
      <c r="BB366" s="113"/>
      <c r="BC366" s="113"/>
      <c r="BD366" s="113"/>
      <c r="BE366" s="113"/>
      <c r="BF366" s="113"/>
      <c r="BG366" s="113"/>
      <c r="BH366" s="113"/>
      <c r="BI366" s="113"/>
      <c r="BJ366" s="113"/>
      <c r="BK366" s="113"/>
      <c r="BL366" s="113"/>
      <c r="BM366" s="113"/>
      <c r="BN366" s="113"/>
      <c r="BO366" s="113"/>
      <c r="BP366" s="113"/>
      <c r="BQ366" s="113"/>
      <c r="BR366" s="113"/>
      <c r="BS366" s="113"/>
      <c r="BT366" s="113"/>
      <c r="BU366" s="113"/>
      <c r="BV366" s="113"/>
      <c r="BW366" s="113"/>
      <c r="BX366" s="113"/>
      <c r="BY366" s="113"/>
      <c r="BZ366" s="113"/>
      <c r="CA366" s="113"/>
      <c r="CB366" s="113"/>
    </row>
    <row r="367" spans="5:80" x14ac:dyDescent="0.25">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c r="AC367" s="113"/>
      <c r="AD367" s="113"/>
      <c r="AE367" s="113"/>
      <c r="AF367" s="113"/>
      <c r="AG367" s="113"/>
      <c r="AH367" s="113"/>
      <c r="AI367" s="113"/>
      <c r="AJ367" s="113"/>
      <c r="AK367" s="113"/>
      <c r="AL367" s="113"/>
      <c r="AM367" s="113"/>
      <c r="AN367" s="113"/>
      <c r="AO367" s="113"/>
      <c r="AP367" s="113"/>
      <c r="AQ367" s="113"/>
      <c r="AR367" s="113"/>
      <c r="AS367" s="113"/>
      <c r="AT367" s="113"/>
      <c r="AU367" s="113"/>
      <c r="AV367" s="113"/>
      <c r="AW367" s="113"/>
      <c r="AX367" s="113"/>
      <c r="AY367" s="113"/>
      <c r="AZ367" s="113"/>
      <c r="BA367" s="113"/>
      <c r="BB367" s="113"/>
      <c r="BC367" s="113"/>
      <c r="BD367" s="113"/>
      <c r="BE367" s="113"/>
      <c r="BF367" s="113"/>
      <c r="BG367" s="113"/>
      <c r="BH367" s="113"/>
      <c r="BI367" s="113"/>
      <c r="BJ367" s="113"/>
      <c r="BK367" s="113"/>
      <c r="BL367" s="113"/>
      <c r="BM367" s="113"/>
      <c r="BN367" s="113"/>
      <c r="BO367" s="113"/>
      <c r="BP367" s="113"/>
      <c r="BQ367" s="113"/>
      <c r="BR367" s="113"/>
      <c r="BS367" s="113"/>
      <c r="BT367" s="113"/>
      <c r="BU367" s="113"/>
      <c r="BV367" s="113"/>
      <c r="BW367" s="113"/>
      <c r="BX367" s="113"/>
      <c r="BY367" s="113"/>
      <c r="BZ367" s="113"/>
      <c r="CA367" s="113"/>
      <c r="CB367" s="113"/>
    </row>
    <row r="368" spans="5:80" x14ac:dyDescent="0.25">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c r="AC368" s="113"/>
      <c r="AD368" s="113"/>
      <c r="AE368" s="113"/>
      <c r="AF368" s="113"/>
      <c r="AG368" s="113"/>
      <c r="AH368" s="113"/>
      <c r="AI368" s="113"/>
      <c r="AJ368" s="113"/>
      <c r="AK368" s="113"/>
      <c r="AL368" s="113"/>
      <c r="AM368" s="113"/>
      <c r="AN368" s="113"/>
      <c r="AO368" s="113"/>
      <c r="AP368" s="113"/>
      <c r="AQ368" s="113"/>
      <c r="AR368" s="113"/>
      <c r="AS368" s="113"/>
      <c r="AT368" s="113"/>
      <c r="AU368" s="113"/>
      <c r="AV368" s="113"/>
      <c r="AW368" s="113"/>
      <c r="AX368" s="113"/>
      <c r="AY368" s="113"/>
      <c r="AZ368" s="113"/>
      <c r="BA368" s="113"/>
      <c r="BB368" s="113"/>
      <c r="BC368" s="113"/>
      <c r="BD368" s="113"/>
      <c r="BE368" s="113"/>
      <c r="BF368" s="113"/>
      <c r="BG368" s="113"/>
      <c r="BH368" s="113"/>
      <c r="BI368" s="113"/>
      <c r="BJ368" s="113"/>
      <c r="BK368" s="113"/>
      <c r="BL368" s="113"/>
      <c r="BM368" s="113"/>
      <c r="BN368" s="113"/>
      <c r="BO368" s="113"/>
      <c r="BP368" s="113"/>
      <c r="BQ368" s="113"/>
      <c r="BR368" s="113"/>
      <c r="BS368" s="113"/>
      <c r="BT368" s="113"/>
      <c r="BU368" s="113"/>
      <c r="BV368" s="113"/>
      <c r="BW368" s="113"/>
      <c r="BX368" s="113"/>
      <c r="BY368" s="113"/>
      <c r="BZ368" s="113"/>
      <c r="CA368" s="113"/>
      <c r="CB368" s="113"/>
    </row>
    <row r="369" spans="5:80" x14ac:dyDescent="0.25">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3"/>
      <c r="AY369" s="113"/>
      <c r="AZ369" s="113"/>
      <c r="BA369" s="113"/>
      <c r="BB369" s="113"/>
      <c r="BC369" s="113"/>
      <c r="BD369" s="113"/>
      <c r="BE369" s="113"/>
      <c r="BF369" s="113"/>
      <c r="BG369" s="113"/>
      <c r="BH369" s="113"/>
      <c r="BI369" s="113"/>
      <c r="BJ369" s="113"/>
      <c r="BK369" s="113"/>
      <c r="BL369" s="113"/>
      <c r="BM369" s="113"/>
      <c r="BN369" s="113"/>
      <c r="BO369" s="113"/>
      <c r="BP369" s="113"/>
      <c r="BQ369" s="113"/>
      <c r="BR369" s="113"/>
      <c r="BS369" s="113"/>
      <c r="BT369" s="113"/>
      <c r="BU369" s="113"/>
      <c r="BV369" s="113"/>
      <c r="BW369" s="113"/>
      <c r="BX369" s="113"/>
      <c r="BY369" s="113"/>
      <c r="BZ369" s="113"/>
      <c r="CA369" s="113"/>
      <c r="CB369" s="113"/>
    </row>
    <row r="370" spans="5:80" x14ac:dyDescent="0.25">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c r="AC370" s="113"/>
      <c r="AD370" s="113"/>
      <c r="AE370" s="113"/>
      <c r="AF370" s="113"/>
      <c r="AG370" s="113"/>
      <c r="AH370" s="113"/>
      <c r="AI370" s="113"/>
      <c r="AJ370" s="113"/>
      <c r="AK370" s="113"/>
      <c r="AL370" s="113"/>
      <c r="AM370" s="113"/>
      <c r="AN370" s="113"/>
      <c r="AO370" s="113"/>
      <c r="AP370" s="113"/>
      <c r="AQ370" s="113"/>
      <c r="AR370" s="113"/>
      <c r="AS370" s="113"/>
      <c r="AT370" s="113"/>
      <c r="AU370" s="113"/>
      <c r="AV370" s="113"/>
      <c r="AW370" s="113"/>
      <c r="AX370" s="113"/>
      <c r="AY370" s="113"/>
      <c r="AZ370" s="113"/>
      <c r="BA370" s="113"/>
      <c r="BB370" s="113"/>
      <c r="BC370" s="113"/>
      <c r="BD370" s="113"/>
      <c r="BE370" s="113"/>
      <c r="BF370" s="113"/>
      <c r="BG370" s="113"/>
      <c r="BH370" s="113"/>
      <c r="BI370" s="113"/>
      <c r="BJ370" s="113"/>
      <c r="BK370" s="113"/>
      <c r="BL370" s="113"/>
      <c r="BM370" s="113"/>
      <c r="BN370" s="113"/>
      <c r="BO370" s="113"/>
      <c r="BP370" s="113"/>
      <c r="BQ370" s="113"/>
      <c r="BR370" s="113"/>
      <c r="BS370" s="113"/>
      <c r="BT370" s="113"/>
      <c r="BU370" s="113"/>
      <c r="BV370" s="113"/>
      <c r="BW370" s="113"/>
      <c r="BX370" s="113"/>
      <c r="BY370" s="113"/>
      <c r="BZ370" s="113"/>
      <c r="CA370" s="113"/>
      <c r="CB370" s="113"/>
    </row>
    <row r="371" spans="5:80" x14ac:dyDescent="0.25">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c r="AC371" s="113"/>
      <c r="AD371" s="113"/>
      <c r="AE371" s="113"/>
      <c r="AF371" s="113"/>
      <c r="AG371" s="113"/>
      <c r="AH371" s="113"/>
      <c r="AI371" s="113"/>
      <c r="AJ371" s="113"/>
      <c r="AK371" s="113"/>
      <c r="AL371" s="113"/>
      <c r="AM371" s="113"/>
      <c r="AN371" s="113"/>
      <c r="AO371" s="113"/>
      <c r="AP371" s="113"/>
      <c r="AQ371" s="113"/>
      <c r="AR371" s="113"/>
      <c r="AS371" s="113"/>
      <c r="AT371" s="113"/>
      <c r="AU371" s="113"/>
      <c r="AV371" s="113"/>
      <c r="AW371" s="113"/>
      <c r="AX371" s="113"/>
      <c r="AY371" s="113"/>
      <c r="AZ371" s="113"/>
      <c r="BA371" s="113"/>
      <c r="BB371" s="113"/>
      <c r="BC371" s="113"/>
      <c r="BD371" s="113"/>
      <c r="BE371" s="113"/>
      <c r="BF371" s="113"/>
      <c r="BG371" s="113"/>
      <c r="BH371" s="113"/>
      <c r="BI371" s="113"/>
      <c r="BJ371" s="113"/>
      <c r="BK371" s="113"/>
      <c r="BL371" s="113"/>
      <c r="BM371" s="113"/>
      <c r="BN371" s="113"/>
      <c r="BO371" s="113"/>
      <c r="BP371" s="113"/>
      <c r="BQ371" s="113"/>
      <c r="BR371" s="113"/>
      <c r="BS371" s="113"/>
      <c r="BT371" s="113"/>
      <c r="BU371" s="113"/>
      <c r="BV371" s="113"/>
      <c r="BW371" s="113"/>
      <c r="BX371" s="113"/>
      <c r="BY371" s="113"/>
      <c r="BZ371" s="113"/>
      <c r="CA371" s="113"/>
      <c r="CB371" s="113"/>
    </row>
    <row r="372" spans="5:80" x14ac:dyDescent="0.25">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c r="AC372" s="113"/>
      <c r="AD372" s="113"/>
      <c r="AE372" s="113"/>
      <c r="AF372" s="113"/>
      <c r="AG372" s="113"/>
      <c r="AH372" s="113"/>
      <c r="AI372" s="113"/>
      <c r="AJ372" s="113"/>
      <c r="AK372" s="113"/>
      <c r="AL372" s="113"/>
      <c r="AM372" s="113"/>
      <c r="AN372" s="113"/>
      <c r="AO372" s="113"/>
      <c r="AP372" s="113"/>
      <c r="AQ372" s="113"/>
      <c r="AR372" s="113"/>
      <c r="AS372" s="113"/>
      <c r="AT372" s="113"/>
      <c r="AU372" s="113"/>
      <c r="AV372" s="113"/>
      <c r="AW372" s="113"/>
      <c r="AX372" s="113"/>
      <c r="AY372" s="113"/>
      <c r="AZ372" s="113"/>
      <c r="BA372" s="113"/>
      <c r="BB372" s="113"/>
      <c r="BC372" s="113"/>
      <c r="BD372" s="113"/>
      <c r="BE372" s="113"/>
      <c r="BF372" s="113"/>
      <c r="BG372" s="113"/>
      <c r="BH372" s="113"/>
      <c r="BI372" s="113"/>
      <c r="BJ372" s="113"/>
      <c r="BK372" s="113"/>
      <c r="BL372" s="113"/>
      <c r="BM372" s="113"/>
      <c r="BN372" s="113"/>
      <c r="BO372" s="113"/>
      <c r="BP372" s="113"/>
      <c r="BQ372" s="113"/>
      <c r="BR372" s="113"/>
      <c r="BS372" s="113"/>
      <c r="BT372" s="113"/>
      <c r="BU372" s="113"/>
      <c r="BV372" s="113"/>
      <c r="BW372" s="113"/>
      <c r="BX372" s="113"/>
      <c r="BY372" s="113"/>
      <c r="BZ372" s="113"/>
      <c r="CA372" s="113"/>
      <c r="CB372" s="113"/>
    </row>
    <row r="373" spans="5:80" x14ac:dyDescent="0.25">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c r="AC373" s="113"/>
      <c r="AD373" s="113"/>
      <c r="AE373" s="113"/>
      <c r="AF373" s="113"/>
      <c r="AG373" s="113"/>
      <c r="AH373" s="113"/>
      <c r="AI373" s="113"/>
      <c r="AJ373" s="113"/>
      <c r="AK373" s="113"/>
      <c r="AL373" s="113"/>
      <c r="AM373" s="113"/>
      <c r="AN373" s="113"/>
      <c r="AO373" s="113"/>
      <c r="AP373" s="113"/>
      <c r="AQ373" s="113"/>
      <c r="AR373" s="113"/>
      <c r="AS373" s="113"/>
      <c r="AT373" s="113"/>
      <c r="AU373" s="113"/>
      <c r="AV373" s="113"/>
      <c r="AW373" s="113"/>
      <c r="AX373" s="113"/>
      <c r="AY373" s="113"/>
      <c r="AZ373" s="113"/>
      <c r="BA373" s="113"/>
      <c r="BB373" s="113"/>
      <c r="BC373" s="113"/>
      <c r="BD373" s="113"/>
      <c r="BE373" s="113"/>
      <c r="BF373" s="113"/>
      <c r="BG373" s="113"/>
      <c r="BH373" s="113"/>
      <c r="BI373" s="113"/>
      <c r="BJ373" s="113"/>
      <c r="BK373" s="113"/>
      <c r="BL373" s="113"/>
      <c r="BM373" s="113"/>
      <c r="BN373" s="113"/>
      <c r="BO373" s="113"/>
      <c r="BP373" s="113"/>
      <c r="BQ373" s="113"/>
      <c r="BR373" s="113"/>
      <c r="BS373" s="113"/>
      <c r="BT373" s="113"/>
      <c r="BU373" s="113"/>
      <c r="BV373" s="113"/>
      <c r="BW373" s="113"/>
      <c r="BX373" s="113"/>
      <c r="BY373" s="113"/>
      <c r="BZ373" s="113"/>
      <c r="CA373" s="113"/>
      <c r="CB373" s="113"/>
    </row>
    <row r="374" spans="5:80" x14ac:dyDescent="0.25">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c r="AC374" s="113"/>
      <c r="AD374" s="113"/>
      <c r="AE374" s="113"/>
      <c r="AF374" s="113"/>
      <c r="AG374" s="113"/>
      <c r="AH374" s="113"/>
      <c r="AI374" s="113"/>
      <c r="AJ374" s="113"/>
      <c r="AK374" s="113"/>
      <c r="AL374" s="113"/>
      <c r="AM374" s="113"/>
      <c r="AN374" s="113"/>
      <c r="AO374" s="113"/>
      <c r="AP374" s="113"/>
      <c r="AQ374" s="113"/>
      <c r="AR374" s="113"/>
      <c r="AS374" s="113"/>
      <c r="AT374" s="113"/>
      <c r="AU374" s="113"/>
      <c r="AV374" s="113"/>
      <c r="AW374" s="113"/>
      <c r="AX374" s="113"/>
      <c r="AY374" s="113"/>
      <c r="AZ374" s="113"/>
      <c r="BA374" s="113"/>
      <c r="BB374" s="113"/>
      <c r="BC374" s="113"/>
      <c r="BD374" s="113"/>
      <c r="BE374" s="113"/>
      <c r="BF374" s="113"/>
      <c r="BG374" s="113"/>
      <c r="BH374" s="113"/>
      <c r="BI374" s="113"/>
      <c r="BJ374" s="113"/>
      <c r="BK374" s="113"/>
      <c r="BL374" s="113"/>
      <c r="BM374" s="113"/>
      <c r="BN374" s="113"/>
      <c r="BO374" s="113"/>
      <c r="BP374" s="113"/>
      <c r="BQ374" s="113"/>
      <c r="BR374" s="113"/>
      <c r="BS374" s="113"/>
      <c r="BT374" s="113"/>
      <c r="BU374" s="113"/>
      <c r="BV374" s="113"/>
      <c r="BW374" s="113"/>
      <c r="BX374" s="113"/>
      <c r="BY374" s="113"/>
      <c r="BZ374" s="113"/>
      <c r="CA374" s="113"/>
      <c r="CB374" s="113"/>
    </row>
    <row r="375" spans="5:80" x14ac:dyDescent="0.25">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c r="AC375" s="113"/>
      <c r="AD375" s="113"/>
      <c r="AE375" s="113"/>
      <c r="AF375" s="113"/>
      <c r="AG375" s="113"/>
      <c r="AH375" s="113"/>
      <c r="AI375" s="113"/>
      <c r="AJ375" s="113"/>
      <c r="AK375" s="113"/>
      <c r="AL375" s="113"/>
      <c r="AM375" s="113"/>
      <c r="AN375" s="113"/>
      <c r="AO375" s="113"/>
      <c r="AP375" s="113"/>
      <c r="AQ375" s="113"/>
      <c r="AR375" s="113"/>
      <c r="AS375" s="113"/>
      <c r="AT375" s="113"/>
      <c r="AU375" s="113"/>
      <c r="AV375" s="113"/>
      <c r="AW375" s="113"/>
      <c r="AX375" s="113"/>
      <c r="AY375" s="113"/>
      <c r="AZ375" s="113"/>
      <c r="BA375" s="113"/>
      <c r="BB375" s="113"/>
      <c r="BC375" s="113"/>
      <c r="BD375" s="113"/>
      <c r="BE375" s="113"/>
      <c r="BF375" s="113"/>
      <c r="BG375" s="113"/>
      <c r="BH375" s="113"/>
      <c r="BI375" s="113"/>
      <c r="BJ375" s="113"/>
      <c r="BK375" s="113"/>
      <c r="BL375" s="113"/>
      <c r="BM375" s="113"/>
      <c r="BN375" s="113"/>
      <c r="BO375" s="113"/>
      <c r="BP375" s="113"/>
      <c r="BQ375" s="113"/>
      <c r="BR375" s="113"/>
      <c r="BS375" s="113"/>
      <c r="BT375" s="113"/>
      <c r="BU375" s="113"/>
      <c r="BV375" s="113"/>
      <c r="BW375" s="113"/>
      <c r="BX375" s="113"/>
      <c r="BY375" s="113"/>
      <c r="BZ375" s="113"/>
      <c r="CA375" s="113"/>
      <c r="CB375" s="113"/>
    </row>
    <row r="376" spans="5:80" x14ac:dyDescent="0.25">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c r="AC376" s="113"/>
      <c r="AD376" s="113"/>
      <c r="AE376" s="113"/>
      <c r="AF376" s="113"/>
      <c r="AG376" s="113"/>
      <c r="AH376" s="113"/>
      <c r="AI376" s="113"/>
      <c r="AJ376" s="113"/>
      <c r="AK376" s="113"/>
      <c r="AL376" s="113"/>
      <c r="AM376" s="113"/>
      <c r="AN376" s="113"/>
      <c r="AO376" s="113"/>
      <c r="AP376" s="113"/>
      <c r="AQ376" s="113"/>
      <c r="AR376" s="113"/>
      <c r="AS376" s="113"/>
      <c r="AT376" s="113"/>
      <c r="AU376" s="113"/>
      <c r="AV376" s="113"/>
      <c r="AW376" s="113"/>
      <c r="AX376" s="113"/>
      <c r="AY376" s="113"/>
      <c r="AZ376" s="113"/>
      <c r="BA376" s="113"/>
      <c r="BB376" s="113"/>
      <c r="BC376" s="113"/>
      <c r="BD376" s="113"/>
      <c r="BE376" s="113"/>
      <c r="BF376" s="113"/>
      <c r="BG376" s="113"/>
      <c r="BH376" s="113"/>
      <c r="BI376" s="113"/>
      <c r="BJ376" s="113"/>
      <c r="BK376" s="113"/>
      <c r="BL376" s="113"/>
      <c r="BM376" s="113"/>
      <c r="BN376" s="113"/>
      <c r="BO376" s="113"/>
      <c r="BP376" s="113"/>
      <c r="BQ376" s="113"/>
      <c r="BR376" s="113"/>
      <c r="BS376" s="113"/>
      <c r="BT376" s="113"/>
      <c r="BU376" s="113"/>
      <c r="BV376" s="113"/>
      <c r="BW376" s="113"/>
      <c r="BX376" s="113"/>
      <c r="BY376" s="113"/>
      <c r="BZ376" s="113"/>
      <c r="CA376" s="113"/>
      <c r="CB376" s="113"/>
    </row>
    <row r="377" spans="5:80" x14ac:dyDescent="0.25">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3"/>
      <c r="AY377" s="113"/>
      <c r="AZ377" s="113"/>
      <c r="BA377" s="113"/>
      <c r="BB377" s="113"/>
      <c r="BC377" s="113"/>
      <c r="BD377" s="113"/>
      <c r="BE377" s="113"/>
      <c r="BF377" s="113"/>
      <c r="BG377" s="113"/>
      <c r="BH377" s="113"/>
      <c r="BI377" s="113"/>
      <c r="BJ377" s="113"/>
      <c r="BK377" s="113"/>
      <c r="BL377" s="113"/>
      <c r="BM377" s="113"/>
      <c r="BN377" s="113"/>
      <c r="BO377" s="113"/>
      <c r="BP377" s="113"/>
      <c r="BQ377" s="113"/>
      <c r="BR377" s="113"/>
      <c r="BS377" s="113"/>
      <c r="BT377" s="113"/>
      <c r="BU377" s="113"/>
      <c r="BV377" s="113"/>
      <c r="BW377" s="113"/>
      <c r="BX377" s="113"/>
      <c r="BY377" s="113"/>
      <c r="BZ377" s="113"/>
      <c r="CA377" s="113"/>
      <c r="CB377" s="113"/>
    </row>
    <row r="378" spans="5:80" x14ac:dyDescent="0.25">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c r="AC378" s="113"/>
      <c r="AD378" s="113"/>
      <c r="AE378" s="113"/>
      <c r="AF378" s="113"/>
      <c r="AG378" s="113"/>
      <c r="AH378" s="113"/>
      <c r="AI378" s="113"/>
      <c r="AJ378" s="113"/>
      <c r="AK378" s="113"/>
      <c r="AL378" s="113"/>
      <c r="AM378" s="113"/>
      <c r="AN378" s="113"/>
      <c r="AO378" s="113"/>
      <c r="AP378" s="113"/>
      <c r="AQ378" s="113"/>
      <c r="AR378" s="113"/>
      <c r="AS378" s="113"/>
      <c r="AT378" s="113"/>
      <c r="AU378" s="113"/>
      <c r="AV378" s="113"/>
      <c r="AW378" s="113"/>
      <c r="AX378" s="113"/>
      <c r="AY378" s="113"/>
      <c r="AZ378" s="113"/>
      <c r="BA378" s="113"/>
      <c r="BB378" s="113"/>
      <c r="BC378" s="113"/>
      <c r="BD378" s="113"/>
      <c r="BE378" s="113"/>
      <c r="BF378" s="113"/>
      <c r="BG378" s="113"/>
      <c r="BH378" s="113"/>
      <c r="BI378" s="113"/>
      <c r="BJ378" s="113"/>
      <c r="BK378" s="113"/>
      <c r="BL378" s="113"/>
      <c r="BM378" s="113"/>
      <c r="BN378" s="113"/>
      <c r="BO378" s="113"/>
      <c r="BP378" s="113"/>
      <c r="BQ378" s="113"/>
      <c r="BR378" s="113"/>
      <c r="BS378" s="113"/>
      <c r="BT378" s="113"/>
      <c r="BU378" s="113"/>
      <c r="BV378" s="113"/>
      <c r="BW378" s="113"/>
      <c r="BX378" s="113"/>
      <c r="BY378" s="113"/>
      <c r="BZ378" s="113"/>
      <c r="CA378" s="113"/>
      <c r="CB378" s="113"/>
    </row>
    <row r="379" spans="5:80" x14ac:dyDescent="0.25">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3"/>
      <c r="AY379" s="113"/>
      <c r="AZ379" s="113"/>
      <c r="BA379" s="113"/>
      <c r="BB379" s="113"/>
      <c r="BC379" s="113"/>
      <c r="BD379" s="113"/>
      <c r="BE379" s="113"/>
      <c r="BF379" s="113"/>
      <c r="BG379" s="113"/>
      <c r="BH379" s="113"/>
      <c r="BI379" s="113"/>
      <c r="BJ379" s="113"/>
      <c r="BK379" s="113"/>
      <c r="BL379" s="113"/>
      <c r="BM379" s="113"/>
      <c r="BN379" s="113"/>
      <c r="BO379" s="113"/>
      <c r="BP379" s="113"/>
      <c r="BQ379" s="113"/>
      <c r="BR379" s="113"/>
      <c r="BS379" s="113"/>
      <c r="BT379" s="113"/>
      <c r="BU379" s="113"/>
      <c r="BV379" s="113"/>
      <c r="BW379" s="113"/>
      <c r="BX379" s="113"/>
      <c r="BY379" s="113"/>
      <c r="BZ379" s="113"/>
      <c r="CA379" s="113"/>
      <c r="CB379" s="113"/>
    </row>
    <row r="380" spans="5:80" x14ac:dyDescent="0.25">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c r="AC380" s="113"/>
      <c r="AD380" s="113"/>
      <c r="AE380" s="113"/>
      <c r="AF380" s="113"/>
      <c r="AG380" s="113"/>
      <c r="AH380" s="113"/>
      <c r="AI380" s="113"/>
      <c r="AJ380" s="113"/>
      <c r="AK380" s="113"/>
      <c r="AL380" s="113"/>
      <c r="AM380" s="113"/>
      <c r="AN380" s="113"/>
      <c r="AO380" s="113"/>
      <c r="AP380" s="113"/>
      <c r="AQ380" s="113"/>
      <c r="AR380" s="113"/>
      <c r="AS380" s="113"/>
      <c r="AT380" s="113"/>
      <c r="AU380" s="113"/>
      <c r="AV380" s="113"/>
      <c r="AW380" s="113"/>
      <c r="AX380" s="113"/>
      <c r="AY380" s="113"/>
      <c r="AZ380" s="113"/>
      <c r="BA380" s="113"/>
      <c r="BB380" s="113"/>
      <c r="BC380" s="113"/>
      <c r="BD380" s="113"/>
      <c r="BE380" s="113"/>
      <c r="BF380" s="113"/>
      <c r="BG380" s="113"/>
      <c r="BH380" s="113"/>
      <c r="BI380" s="113"/>
      <c r="BJ380" s="113"/>
      <c r="BK380" s="113"/>
      <c r="BL380" s="113"/>
      <c r="BM380" s="113"/>
      <c r="BN380" s="113"/>
      <c r="BO380" s="113"/>
      <c r="BP380" s="113"/>
      <c r="BQ380" s="113"/>
      <c r="BR380" s="113"/>
      <c r="BS380" s="113"/>
      <c r="BT380" s="113"/>
      <c r="BU380" s="113"/>
      <c r="BV380" s="113"/>
      <c r="BW380" s="113"/>
      <c r="BX380" s="113"/>
      <c r="BY380" s="113"/>
      <c r="BZ380" s="113"/>
      <c r="CA380" s="113"/>
      <c r="CB380" s="113"/>
    </row>
    <row r="381" spans="5:80" x14ac:dyDescent="0.25">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c r="AC381" s="113"/>
      <c r="AD381" s="113"/>
      <c r="AE381" s="113"/>
      <c r="AF381" s="113"/>
      <c r="AG381" s="113"/>
      <c r="AH381" s="113"/>
      <c r="AI381" s="113"/>
      <c r="AJ381" s="113"/>
      <c r="AK381" s="113"/>
      <c r="AL381" s="113"/>
      <c r="AM381" s="113"/>
      <c r="AN381" s="113"/>
      <c r="AO381" s="113"/>
      <c r="AP381" s="113"/>
      <c r="AQ381" s="113"/>
      <c r="AR381" s="113"/>
      <c r="AS381" s="113"/>
      <c r="AT381" s="113"/>
      <c r="AU381" s="113"/>
      <c r="AV381" s="113"/>
      <c r="AW381" s="113"/>
      <c r="AX381" s="113"/>
      <c r="AY381" s="113"/>
      <c r="AZ381" s="113"/>
      <c r="BA381" s="113"/>
      <c r="BB381" s="113"/>
      <c r="BC381" s="113"/>
      <c r="BD381" s="113"/>
      <c r="BE381" s="113"/>
      <c r="BF381" s="113"/>
      <c r="BG381" s="113"/>
      <c r="BH381" s="113"/>
      <c r="BI381" s="113"/>
      <c r="BJ381" s="113"/>
      <c r="BK381" s="113"/>
      <c r="BL381" s="113"/>
      <c r="BM381" s="113"/>
      <c r="BN381" s="113"/>
      <c r="BO381" s="113"/>
      <c r="BP381" s="113"/>
      <c r="BQ381" s="113"/>
      <c r="BR381" s="113"/>
      <c r="BS381" s="113"/>
      <c r="BT381" s="113"/>
      <c r="BU381" s="113"/>
      <c r="BV381" s="113"/>
      <c r="BW381" s="113"/>
      <c r="BX381" s="113"/>
      <c r="BY381" s="113"/>
      <c r="BZ381" s="113"/>
      <c r="CA381" s="113"/>
      <c r="CB381" s="113"/>
    </row>
    <row r="382" spans="5:80" x14ac:dyDescent="0.25">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c r="AC382" s="113"/>
      <c r="AD382" s="113"/>
      <c r="AE382" s="113"/>
      <c r="AF382" s="113"/>
      <c r="AG382" s="113"/>
      <c r="AH382" s="113"/>
      <c r="AI382" s="113"/>
      <c r="AJ382" s="113"/>
      <c r="AK382" s="113"/>
      <c r="AL382" s="113"/>
      <c r="AM382" s="113"/>
      <c r="AN382" s="113"/>
      <c r="AO382" s="113"/>
      <c r="AP382" s="113"/>
      <c r="AQ382" s="113"/>
      <c r="AR382" s="113"/>
      <c r="AS382" s="113"/>
      <c r="AT382" s="113"/>
      <c r="AU382" s="113"/>
      <c r="AV382" s="113"/>
      <c r="AW382" s="113"/>
      <c r="AX382" s="113"/>
      <c r="AY382" s="113"/>
      <c r="AZ382" s="113"/>
      <c r="BA382" s="113"/>
      <c r="BB382" s="113"/>
      <c r="BC382" s="113"/>
      <c r="BD382" s="113"/>
      <c r="BE382" s="113"/>
      <c r="BF382" s="113"/>
      <c r="BG382" s="113"/>
      <c r="BH382" s="113"/>
      <c r="BI382" s="113"/>
      <c r="BJ382" s="113"/>
      <c r="BK382" s="113"/>
      <c r="BL382" s="113"/>
      <c r="BM382" s="113"/>
      <c r="BN382" s="113"/>
      <c r="BO382" s="113"/>
      <c r="BP382" s="113"/>
      <c r="BQ382" s="113"/>
      <c r="BR382" s="113"/>
      <c r="BS382" s="113"/>
      <c r="BT382" s="113"/>
      <c r="BU382" s="113"/>
      <c r="BV382" s="113"/>
      <c r="BW382" s="113"/>
      <c r="BX382" s="113"/>
      <c r="BY382" s="113"/>
      <c r="BZ382" s="113"/>
      <c r="CA382" s="113"/>
      <c r="CB382" s="113"/>
    </row>
    <row r="383" spans="5:80" x14ac:dyDescent="0.25">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3"/>
      <c r="AY383" s="113"/>
      <c r="AZ383" s="113"/>
      <c r="BA383" s="113"/>
      <c r="BB383" s="113"/>
      <c r="BC383" s="113"/>
      <c r="BD383" s="113"/>
      <c r="BE383" s="113"/>
      <c r="BF383" s="113"/>
      <c r="BG383" s="113"/>
      <c r="BH383" s="113"/>
      <c r="BI383" s="113"/>
      <c r="BJ383" s="113"/>
      <c r="BK383" s="113"/>
      <c r="BL383" s="113"/>
      <c r="BM383" s="113"/>
      <c r="BN383" s="113"/>
      <c r="BO383" s="113"/>
      <c r="BP383" s="113"/>
      <c r="BQ383" s="113"/>
      <c r="BR383" s="113"/>
      <c r="BS383" s="113"/>
      <c r="BT383" s="113"/>
      <c r="BU383" s="113"/>
      <c r="BV383" s="113"/>
      <c r="BW383" s="113"/>
      <c r="BX383" s="113"/>
      <c r="BY383" s="113"/>
      <c r="BZ383" s="113"/>
      <c r="CA383" s="113"/>
      <c r="CB383" s="113"/>
    </row>
    <row r="384" spans="5:80" x14ac:dyDescent="0.25">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c r="AC384" s="113"/>
      <c r="AD384" s="113"/>
      <c r="AE384" s="113"/>
      <c r="AF384" s="113"/>
      <c r="AG384" s="113"/>
      <c r="AH384" s="113"/>
      <c r="AI384" s="113"/>
      <c r="AJ384" s="113"/>
      <c r="AK384" s="113"/>
      <c r="AL384" s="113"/>
      <c r="AM384" s="113"/>
      <c r="AN384" s="113"/>
      <c r="AO384" s="113"/>
      <c r="AP384" s="113"/>
      <c r="AQ384" s="113"/>
      <c r="AR384" s="113"/>
      <c r="AS384" s="113"/>
      <c r="AT384" s="113"/>
      <c r="AU384" s="113"/>
      <c r="AV384" s="113"/>
      <c r="AW384" s="113"/>
      <c r="AX384" s="113"/>
      <c r="AY384" s="113"/>
      <c r="AZ384" s="113"/>
      <c r="BA384" s="113"/>
      <c r="BB384" s="113"/>
      <c r="BC384" s="113"/>
      <c r="BD384" s="113"/>
      <c r="BE384" s="113"/>
      <c r="BF384" s="113"/>
      <c r="BG384" s="113"/>
      <c r="BH384" s="113"/>
      <c r="BI384" s="113"/>
      <c r="BJ384" s="113"/>
      <c r="BK384" s="113"/>
      <c r="BL384" s="113"/>
      <c r="BM384" s="113"/>
      <c r="BN384" s="113"/>
      <c r="BO384" s="113"/>
      <c r="BP384" s="113"/>
      <c r="BQ384" s="113"/>
      <c r="BR384" s="113"/>
      <c r="BS384" s="113"/>
      <c r="BT384" s="113"/>
      <c r="BU384" s="113"/>
      <c r="BV384" s="113"/>
      <c r="BW384" s="113"/>
      <c r="BX384" s="113"/>
      <c r="BY384" s="113"/>
      <c r="BZ384" s="113"/>
      <c r="CA384" s="113"/>
      <c r="CB384" s="113"/>
    </row>
    <row r="385" spans="5:80" x14ac:dyDescent="0.25">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c r="AC385" s="113"/>
      <c r="AD385" s="113"/>
      <c r="AE385" s="113"/>
      <c r="AF385" s="113"/>
      <c r="AG385" s="113"/>
      <c r="AH385" s="113"/>
      <c r="AI385" s="113"/>
      <c r="AJ385" s="113"/>
      <c r="AK385" s="113"/>
      <c r="AL385" s="113"/>
      <c r="AM385" s="113"/>
      <c r="AN385" s="113"/>
      <c r="AO385" s="113"/>
      <c r="AP385" s="113"/>
      <c r="AQ385" s="113"/>
      <c r="AR385" s="113"/>
      <c r="AS385" s="113"/>
      <c r="AT385" s="113"/>
      <c r="AU385" s="113"/>
      <c r="AV385" s="113"/>
      <c r="AW385" s="113"/>
      <c r="AX385" s="113"/>
      <c r="AY385" s="113"/>
      <c r="AZ385" s="113"/>
      <c r="BA385" s="113"/>
      <c r="BB385" s="113"/>
      <c r="BC385" s="113"/>
      <c r="BD385" s="113"/>
      <c r="BE385" s="113"/>
      <c r="BF385" s="113"/>
      <c r="BG385" s="113"/>
      <c r="BH385" s="113"/>
      <c r="BI385" s="113"/>
      <c r="BJ385" s="113"/>
      <c r="BK385" s="113"/>
      <c r="BL385" s="113"/>
      <c r="BM385" s="113"/>
      <c r="BN385" s="113"/>
      <c r="BO385" s="113"/>
      <c r="BP385" s="113"/>
      <c r="BQ385" s="113"/>
      <c r="BR385" s="113"/>
      <c r="BS385" s="113"/>
      <c r="BT385" s="113"/>
      <c r="BU385" s="113"/>
      <c r="BV385" s="113"/>
      <c r="BW385" s="113"/>
      <c r="BX385" s="113"/>
      <c r="BY385" s="113"/>
      <c r="BZ385" s="113"/>
      <c r="CA385" s="113"/>
      <c r="CB385" s="113"/>
    </row>
    <row r="386" spans="5:80" x14ac:dyDescent="0.25">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c r="AC386" s="113"/>
      <c r="AD386" s="113"/>
      <c r="AE386" s="113"/>
      <c r="AF386" s="113"/>
      <c r="AG386" s="113"/>
      <c r="AH386" s="113"/>
      <c r="AI386" s="113"/>
      <c r="AJ386" s="113"/>
      <c r="AK386" s="113"/>
      <c r="AL386" s="113"/>
      <c r="AM386" s="113"/>
      <c r="AN386" s="113"/>
      <c r="AO386" s="113"/>
      <c r="AP386" s="113"/>
      <c r="AQ386" s="113"/>
      <c r="AR386" s="113"/>
      <c r="AS386" s="113"/>
      <c r="AT386" s="113"/>
      <c r="AU386" s="113"/>
      <c r="AV386" s="113"/>
      <c r="AW386" s="113"/>
      <c r="AX386" s="113"/>
      <c r="AY386" s="113"/>
      <c r="AZ386" s="113"/>
      <c r="BA386" s="113"/>
      <c r="BB386" s="113"/>
      <c r="BC386" s="113"/>
      <c r="BD386" s="113"/>
      <c r="BE386" s="113"/>
      <c r="BF386" s="113"/>
      <c r="BG386" s="113"/>
      <c r="BH386" s="113"/>
      <c r="BI386" s="113"/>
      <c r="BJ386" s="113"/>
      <c r="BK386" s="113"/>
      <c r="BL386" s="113"/>
      <c r="BM386" s="113"/>
      <c r="BN386" s="113"/>
      <c r="BO386" s="113"/>
      <c r="BP386" s="113"/>
      <c r="BQ386" s="113"/>
      <c r="BR386" s="113"/>
      <c r="BS386" s="113"/>
      <c r="BT386" s="113"/>
      <c r="BU386" s="113"/>
      <c r="BV386" s="113"/>
      <c r="BW386" s="113"/>
      <c r="BX386" s="113"/>
      <c r="BY386" s="113"/>
      <c r="BZ386" s="113"/>
      <c r="CA386" s="113"/>
      <c r="CB386" s="113"/>
    </row>
    <row r="387" spans="5:80" x14ac:dyDescent="0.25">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c r="AC387" s="113"/>
      <c r="AD387" s="113"/>
      <c r="AE387" s="113"/>
      <c r="AF387" s="113"/>
      <c r="AG387" s="113"/>
      <c r="AH387" s="113"/>
      <c r="AI387" s="113"/>
      <c r="AJ387" s="113"/>
      <c r="AK387" s="113"/>
      <c r="AL387" s="113"/>
      <c r="AM387" s="113"/>
      <c r="AN387" s="113"/>
      <c r="AO387" s="113"/>
      <c r="AP387" s="113"/>
      <c r="AQ387" s="113"/>
      <c r="AR387" s="113"/>
      <c r="AS387" s="113"/>
      <c r="AT387" s="113"/>
      <c r="AU387" s="113"/>
      <c r="AV387" s="113"/>
      <c r="AW387" s="113"/>
      <c r="AX387" s="113"/>
      <c r="AY387" s="113"/>
      <c r="AZ387" s="113"/>
      <c r="BA387" s="113"/>
      <c r="BB387" s="113"/>
      <c r="BC387" s="113"/>
      <c r="BD387" s="113"/>
      <c r="BE387" s="113"/>
      <c r="BF387" s="113"/>
      <c r="BG387" s="113"/>
      <c r="BH387" s="113"/>
      <c r="BI387" s="113"/>
      <c r="BJ387" s="113"/>
      <c r="BK387" s="113"/>
      <c r="BL387" s="113"/>
      <c r="BM387" s="113"/>
      <c r="BN387" s="113"/>
      <c r="BO387" s="113"/>
      <c r="BP387" s="113"/>
      <c r="BQ387" s="113"/>
      <c r="BR387" s="113"/>
      <c r="BS387" s="113"/>
      <c r="BT387" s="113"/>
      <c r="BU387" s="113"/>
      <c r="BV387" s="113"/>
      <c r="BW387" s="113"/>
      <c r="BX387" s="113"/>
      <c r="BY387" s="113"/>
      <c r="BZ387" s="113"/>
      <c r="CA387" s="113"/>
      <c r="CB387" s="113"/>
    </row>
    <row r="388" spans="5:80" x14ac:dyDescent="0.25">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c r="AC388" s="113"/>
      <c r="AD388" s="113"/>
      <c r="AE388" s="113"/>
      <c r="AF388" s="113"/>
      <c r="AG388" s="113"/>
      <c r="AH388" s="113"/>
      <c r="AI388" s="113"/>
      <c r="AJ388" s="113"/>
      <c r="AK388" s="113"/>
      <c r="AL388" s="113"/>
      <c r="AM388" s="113"/>
      <c r="AN388" s="113"/>
      <c r="AO388" s="113"/>
      <c r="AP388" s="113"/>
      <c r="AQ388" s="113"/>
      <c r="AR388" s="113"/>
      <c r="AS388" s="113"/>
      <c r="AT388" s="113"/>
      <c r="AU388" s="113"/>
      <c r="AV388" s="113"/>
      <c r="AW388" s="113"/>
      <c r="AX388" s="113"/>
      <c r="AY388" s="113"/>
      <c r="AZ388" s="113"/>
      <c r="BA388" s="113"/>
      <c r="BB388" s="113"/>
      <c r="BC388" s="113"/>
      <c r="BD388" s="113"/>
      <c r="BE388" s="113"/>
      <c r="BF388" s="113"/>
      <c r="BG388" s="113"/>
      <c r="BH388" s="113"/>
      <c r="BI388" s="113"/>
      <c r="BJ388" s="113"/>
      <c r="BK388" s="113"/>
      <c r="BL388" s="113"/>
      <c r="BM388" s="113"/>
      <c r="BN388" s="113"/>
      <c r="BO388" s="113"/>
      <c r="BP388" s="113"/>
      <c r="BQ388" s="113"/>
      <c r="BR388" s="113"/>
      <c r="BS388" s="113"/>
      <c r="BT388" s="113"/>
      <c r="BU388" s="113"/>
      <c r="BV388" s="113"/>
      <c r="BW388" s="113"/>
      <c r="BX388" s="113"/>
      <c r="BY388" s="113"/>
      <c r="BZ388" s="113"/>
      <c r="CA388" s="113"/>
      <c r="CB388" s="113"/>
    </row>
    <row r="389" spans="5:80" x14ac:dyDescent="0.25">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c r="AC389" s="113"/>
      <c r="AD389" s="113"/>
      <c r="AE389" s="113"/>
      <c r="AF389" s="113"/>
      <c r="AG389" s="113"/>
      <c r="AH389" s="113"/>
      <c r="AI389" s="113"/>
      <c r="AJ389" s="113"/>
      <c r="AK389" s="113"/>
      <c r="AL389" s="113"/>
      <c r="AM389" s="113"/>
      <c r="AN389" s="113"/>
      <c r="AO389" s="113"/>
      <c r="AP389" s="113"/>
      <c r="AQ389" s="113"/>
      <c r="AR389" s="113"/>
      <c r="AS389" s="113"/>
      <c r="AT389" s="113"/>
      <c r="AU389" s="113"/>
      <c r="AV389" s="113"/>
      <c r="AW389" s="113"/>
      <c r="AX389" s="113"/>
      <c r="AY389" s="113"/>
      <c r="AZ389" s="113"/>
      <c r="BA389" s="113"/>
      <c r="BB389" s="113"/>
      <c r="BC389" s="113"/>
      <c r="BD389" s="113"/>
      <c r="BE389" s="113"/>
      <c r="BF389" s="113"/>
      <c r="BG389" s="113"/>
      <c r="BH389" s="113"/>
      <c r="BI389" s="113"/>
      <c r="BJ389" s="113"/>
      <c r="BK389" s="113"/>
      <c r="BL389" s="113"/>
      <c r="BM389" s="113"/>
      <c r="BN389" s="113"/>
      <c r="BO389" s="113"/>
      <c r="BP389" s="113"/>
      <c r="BQ389" s="113"/>
      <c r="BR389" s="113"/>
      <c r="BS389" s="113"/>
      <c r="BT389" s="113"/>
      <c r="BU389" s="113"/>
      <c r="BV389" s="113"/>
      <c r="BW389" s="113"/>
      <c r="BX389" s="113"/>
      <c r="BY389" s="113"/>
      <c r="BZ389" s="113"/>
      <c r="CA389" s="113"/>
      <c r="CB389" s="113"/>
    </row>
    <row r="390" spans="5:80" x14ac:dyDescent="0.25">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c r="AC390" s="113"/>
      <c r="AD390" s="113"/>
      <c r="AE390" s="113"/>
      <c r="AF390" s="113"/>
      <c r="AG390" s="113"/>
      <c r="AH390" s="113"/>
      <c r="AI390" s="113"/>
      <c r="AJ390" s="113"/>
      <c r="AK390" s="113"/>
      <c r="AL390" s="113"/>
      <c r="AM390" s="113"/>
      <c r="AN390" s="113"/>
      <c r="AO390" s="113"/>
      <c r="AP390" s="113"/>
      <c r="AQ390" s="113"/>
      <c r="AR390" s="113"/>
      <c r="AS390" s="113"/>
      <c r="AT390" s="113"/>
      <c r="AU390" s="113"/>
      <c r="AV390" s="113"/>
      <c r="AW390" s="113"/>
      <c r="AX390" s="113"/>
      <c r="AY390" s="113"/>
      <c r="AZ390" s="113"/>
      <c r="BA390" s="113"/>
      <c r="BB390" s="113"/>
      <c r="BC390" s="113"/>
      <c r="BD390" s="113"/>
      <c r="BE390" s="113"/>
      <c r="BF390" s="113"/>
      <c r="BG390" s="113"/>
      <c r="BH390" s="113"/>
      <c r="BI390" s="113"/>
      <c r="BJ390" s="113"/>
      <c r="BK390" s="113"/>
      <c r="BL390" s="113"/>
      <c r="BM390" s="113"/>
      <c r="BN390" s="113"/>
      <c r="BO390" s="113"/>
      <c r="BP390" s="113"/>
      <c r="BQ390" s="113"/>
      <c r="BR390" s="113"/>
      <c r="BS390" s="113"/>
      <c r="BT390" s="113"/>
      <c r="BU390" s="113"/>
      <c r="BV390" s="113"/>
      <c r="BW390" s="113"/>
      <c r="BX390" s="113"/>
      <c r="BY390" s="113"/>
      <c r="BZ390" s="113"/>
      <c r="CA390" s="113"/>
      <c r="CB390" s="113"/>
    </row>
    <row r="391" spans="5:80" x14ac:dyDescent="0.25">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c r="AC391" s="113"/>
      <c r="AD391" s="113"/>
      <c r="AE391" s="113"/>
      <c r="AF391" s="113"/>
      <c r="AG391" s="113"/>
      <c r="AH391" s="113"/>
      <c r="AI391" s="113"/>
      <c r="AJ391" s="113"/>
      <c r="AK391" s="113"/>
      <c r="AL391" s="113"/>
      <c r="AM391" s="113"/>
      <c r="AN391" s="113"/>
      <c r="AO391" s="113"/>
      <c r="AP391" s="113"/>
      <c r="AQ391" s="113"/>
      <c r="AR391" s="113"/>
      <c r="AS391" s="113"/>
      <c r="AT391" s="113"/>
      <c r="AU391" s="113"/>
      <c r="AV391" s="113"/>
      <c r="AW391" s="113"/>
      <c r="AX391" s="113"/>
      <c r="AY391" s="113"/>
      <c r="AZ391" s="113"/>
      <c r="BA391" s="113"/>
      <c r="BB391" s="113"/>
      <c r="BC391" s="113"/>
      <c r="BD391" s="113"/>
      <c r="BE391" s="113"/>
      <c r="BF391" s="113"/>
      <c r="BG391" s="113"/>
      <c r="BH391" s="113"/>
      <c r="BI391" s="113"/>
      <c r="BJ391" s="113"/>
      <c r="BK391" s="113"/>
      <c r="BL391" s="113"/>
      <c r="BM391" s="113"/>
      <c r="BN391" s="113"/>
      <c r="BO391" s="113"/>
      <c r="BP391" s="113"/>
      <c r="BQ391" s="113"/>
      <c r="BR391" s="113"/>
      <c r="BS391" s="113"/>
      <c r="BT391" s="113"/>
      <c r="BU391" s="113"/>
      <c r="BV391" s="113"/>
      <c r="BW391" s="113"/>
      <c r="BX391" s="113"/>
      <c r="BY391" s="113"/>
      <c r="BZ391" s="113"/>
      <c r="CA391" s="113"/>
      <c r="CB391" s="113"/>
    </row>
    <row r="392" spans="5:80" x14ac:dyDescent="0.25">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c r="AC392" s="113"/>
      <c r="AD392" s="113"/>
      <c r="AE392" s="113"/>
      <c r="AF392" s="113"/>
      <c r="AG392" s="113"/>
      <c r="AH392" s="113"/>
      <c r="AI392" s="113"/>
      <c r="AJ392" s="113"/>
      <c r="AK392" s="113"/>
      <c r="AL392" s="113"/>
      <c r="AM392" s="113"/>
      <c r="AN392" s="113"/>
      <c r="AO392" s="113"/>
      <c r="AP392" s="113"/>
      <c r="AQ392" s="113"/>
      <c r="AR392" s="113"/>
      <c r="AS392" s="113"/>
      <c r="AT392" s="113"/>
      <c r="AU392" s="113"/>
      <c r="AV392" s="113"/>
      <c r="AW392" s="113"/>
      <c r="AX392" s="113"/>
      <c r="AY392" s="113"/>
      <c r="AZ392" s="113"/>
      <c r="BA392" s="113"/>
      <c r="BB392" s="113"/>
      <c r="BC392" s="113"/>
      <c r="BD392" s="113"/>
      <c r="BE392" s="113"/>
      <c r="BF392" s="113"/>
      <c r="BG392" s="113"/>
      <c r="BH392" s="113"/>
      <c r="BI392" s="113"/>
      <c r="BJ392" s="113"/>
      <c r="BK392" s="113"/>
      <c r="BL392" s="113"/>
      <c r="BM392" s="113"/>
      <c r="BN392" s="113"/>
      <c r="BO392" s="113"/>
      <c r="BP392" s="113"/>
      <c r="BQ392" s="113"/>
      <c r="BR392" s="113"/>
      <c r="BS392" s="113"/>
      <c r="BT392" s="113"/>
      <c r="BU392" s="113"/>
      <c r="BV392" s="113"/>
      <c r="BW392" s="113"/>
      <c r="BX392" s="113"/>
      <c r="BY392" s="113"/>
      <c r="BZ392" s="113"/>
      <c r="CA392" s="113"/>
      <c r="CB392" s="113"/>
    </row>
    <row r="393" spans="5:80" x14ac:dyDescent="0.25">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c r="AC393" s="113"/>
      <c r="AD393" s="113"/>
      <c r="AE393" s="113"/>
      <c r="AF393" s="113"/>
      <c r="AG393" s="113"/>
      <c r="AH393" s="113"/>
      <c r="AI393" s="113"/>
      <c r="AJ393" s="113"/>
      <c r="AK393" s="113"/>
      <c r="AL393" s="113"/>
      <c r="AM393" s="113"/>
      <c r="AN393" s="113"/>
      <c r="AO393" s="113"/>
      <c r="AP393" s="113"/>
      <c r="AQ393" s="113"/>
      <c r="AR393" s="113"/>
      <c r="AS393" s="113"/>
      <c r="AT393" s="113"/>
      <c r="AU393" s="113"/>
      <c r="AV393" s="113"/>
      <c r="AW393" s="113"/>
      <c r="AX393" s="113"/>
      <c r="AY393" s="113"/>
      <c r="AZ393" s="113"/>
      <c r="BA393" s="113"/>
      <c r="BB393" s="113"/>
      <c r="BC393" s="113"/>
      <c r="BD393" s="113"/>
      <c r="BE393" s="113"/>
      <c r="BF393" s="113"/>
      <c r="BG393" s="113"/>
      <c r="BH393" s="113"/>
      <c r="BI393" s="113"/>
      <c r="BJ393" s="113"/>
      <c r="BK393" s="113"/>
      <c r="BL393" s="113"/>
      <c r="BM393" s="113"/>
      <c r="BN393" s="113"/>
      <c r="BO393" s="113"/>
      <c r="BP393" s="113"/>
      <c r="BQ393" s="113"/>
      <c r="BR393" s="113"/>
      <c r="BS393" s="113"/>
      <c r="BT393" s="113"/>
      <c r="BU393" s="113"/>
      <c r="BV393" s="113"/>
      <c r="BW393" s="113"/>
      <c r="BX393" s="113"/>
      <c r="BY393" s="113"/>
      <c r="BZ393" s="113"/>
      <c r="CA393" s="113"/>
      <c r="CB393" s="113"/>
    </row>
    <row r="394" spans="5:80" x14ac:dyDescent="0.25">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c r="AC394" s="113"/>
      <c r="AD394" s="113"/>
      <c r="AE394" s="113"/>
      <c r="AF394" s="113"/>
      <c r="AG394" s="113"/>
      <c r="AH394" s="113"/>
      <c r="AI394" s="113"/>
      <c r="AJ394" s="113"/>
      <c r="AK394" s="113"/>
      <c r="AL394" s="113"/>
      <c r="AM394" s="113"/>
      <c r="AN394" s="113"/>
      <c r="AO394" s="113"/>
      <c r="AP394" s="113"/>
      <c r="AQ394" s="113"/>
      <c r="AR394" s="113"/>
      <c r="AS394" s="113"/>
      <c r="AT394" s="113"/>
      <c r="AU394" s="113"/>
      <c r="AV394" s="113"/>
      <c r="AW394" s="113"/>
      <c r="AX394" s="113"/>
      <c r="AY394" s="113"/>
      <c r="AZ394" s="113"/>
      <c r="BA394" s="113"/>
      <c r="BB394" s="113"/>
      <c r="BC394" s="113"/>
      <c r="BD394" s="113"/>
      <c r="BE394" s="113"/>
      <c r="BF394" s="113"/>
      <c r="BG394" s="113"/>
      <c r="BH394" s="113"/>
      <c r="BI394" s="113"/>
      <c r="BJ394" s="113"/>
      <c r="BK394" s="113"/>
      <c r="BL394" s="113"/>
      <c r="BM394" s="113"/>
      <c r="BN394" s="113"/>
      <c r="BO394" s="113"/>
      <c r="BP394" s="113"/>
      <c r="BQ394" s="113"/>
      <c r="BR394" s="113"/>
      <c r="BS394" s="113"/>
      <c r="BT394" s="113"/>
      <c r="BU394" s="113"/>
      <c r="BV394" s="113"/>
      <c r="BW394" s="113"/>
      <c r="BX394" s="113"/>
      <c r="BY394" s="113"/>
      <c r="BZ394" s="113"/>
      <c r="CA394" s="113"/>
      <c r="CB394" s="113"/>
    </row>
    <row r="395" spans="5:80" x14ac:dyDescent="0.25">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c r="AC395" s="113"/>
      <c r="AD395" s="113"/>
      <c r="AE395" s="113"/>
      <c r="AF395" s="113"/>
      <c r="AG395" s="113"/>
      <c r="AH395" s="113"/>
      <c r="AI395" s="113"/>
      <c r="AJ395" s="113"/>
      <c r="AK395" s="113"/>
      <c r="AL395" s="113"/>
      <c r="AM395" s="113"/>
      <c r="AN395" s="113"/>
      <c r="AO395" s="113"/>
      <c r="AP395" s="113"/>
      <c r="AQ395" s="113"/>
      <c r="AR395" s="113"/>
      <c r="AS395" s="113"/>
      <c r="AT395" s="113"/>
      <c r="AU395" s="113"/>
      <c r="AV395" s="113"/>
      <c r="AW395" s="113"/>
      <c r="AX395" s="113"/>
      <c r="AY395" s="113"/>
      <c r="AZ395" s="113"/>
      <c r="BA395" s="113"/>
      <c r="BB395" s="113"/>
      <c r="BC395" s="113"/>
      <c r="BD395" s="113"/>
      <c r="BE395" s="113"/>
      <c r="BF395" s="113"/>
      <c r="BG395" s="113"/>
      <c r="BH395" s="113"/>
      <c r="BI395" s="113"/>
      <c r="BJ395" s="113"/>
      <c r="BK395" s="113"/>
      <c r="BL395" s="113"/>
      <c r="BM395" s="113"/>
      <c r="BN395" s="113"/>
      <c r="BO395" s="113"/>
      <c r="BP395" s="113"/>
      <c r="BQ395" s="113"/>
      <c r="BR395" s="113"/>
      <c r="BS395" s="113"/>
      <c r="BT395" s="113"/>
      <c r="BU395" s="113"/>
      <c r="BV395" s="113"/>
      <c r="BW395" s="113"/>
      <c r="BX395" s="113"/>
      <c r="BY395" s="113"/>
      <c r="BZ395" s="113"/>
      <c r="CA395" s="113"/>
      <c r="CB395" s="113"/>
    </row>
    <row r="396" spans="5:80" x14ac:dyDescent="0.25">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c r="AC396" s="113"/>
      <c r="AD396" s="113"/>
      <c r="AE396" s="113"/>
      <c r="AF396" s="113"/>
      <c r="AG396" s="113"/>
      <c r="AH396" s="113"/>
      <c r="AI396" s="113"/>
      <c r="AJ396" s="113"/>
      <c r="AK396" s="113"/>
      <c r="AL396" s="113"/>
      <c r="AM396" s="113"/>
      <c r="AN396" s="113"/>
      <c r="AO396" s="113"/>
      <c r="AP396" s="113"/>
      <c r="AQ396" s="113"/>
      <c r="AR396" s="113"/>
      <c r="AS396" s="113"/>
      <c r="AT396" s="113"/>
      <c r="AU396" s="113"/>
      <c r="AV396" s="113"/>
      <c r="AW396" s="113"/>
      <c r="AX396" s="113"/>
      <c r="AY396" s="113"/>
      <c r="AZ396" s="113"/>
      <c r="BA396" s="113"/>
      <c r="BB396" s="113"/>
      <c r="BC396" s="113"/>
      <c r="BD396" s="113"/>
      <c r="BE396" s="113"/>
      <c r="BF396" s="113"/>
      <c r="BG396" s="113"/>
      <c r="BH396" s="113"/>
      <c r="BI396" s="113"/>
      <c r="BJ396" s="113"/>
      <c r="BK396" s="113"/>
      <c r="BL396" s="113"/>
      <c r="BM396" s="113"/>
      <c r="BN396" s="113"/>
      <c r="BO396" s="113"/>
      <c r="BP396" s="113"/>
      <c r="BQ396" s="113"/>
      <c r="BR396" s="113"/>
      <c r="BS396" s="113"/>
      <c r="BT396" s="113"/>
      <c r="BU396" s="113"/>
      <c r="BV396" s="113"/>
      <c r="BW396" s="113"/>
      <c r="BX396" s="113"/>
      <c r="BY396" s="113"/>
      <c r="BZ396" s="113"/>
      <c r="CA396" s="113"/>
      <c r="CB396" s="113"/>
    </row>
    <row r="397" spans="5:80" x14ac:dyDescent="0.25">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c r="AC397" s="113"/>
      <c r="AD397" s="113"/>
      <c r="AE397" s="113"/>
      <c r="AF397" s="113"/>
      <c r="AG397" s="113"/>
      <c r="AH397" s="113"/>
      <c r="AI397" s="113"/>
      <c r="AJ397" s="113"/>
      <c r="AK397" s="113"/>
      <c r="AL397" s="113"/>
      <c r="AM397" s="113"/>
      <c r="AN397" s="113"/>
      <c r="AO397" s="113"/>
      <c r="AP397" s="113"/>
      <c r="AQ397" s="113"/>
      <c r="AR397" s="113"/>
      <c r="AS397" s="113"/>
      <c r="AT397" s="113"/>
      <c r="AU397" s="113"/>
      <c r="AV397" s="113"/>
      <c r="AW397" s="113"/>
      <c r="AX397" s="113"/>
      <c r="AY397" s="113"/>
      <c r="AZ397" s="113"/>
      <c r="BA397" s="113"/>
      <c r="BB397" s="113"/>
      <c r="BC397" s="113"/>
      <c r="BD397" s="113"/>
      <c r="BE397" s="113"/>
      <c r="BF397" s="113"/>
      <c r="BG397" s="113"/>
      <c r="BH397" s="113"/>
      <c r="BI397" s="113"/>
      <c r="BJ397" s="113"/>
      <c r="BK397" s="113"/>
      <c r="BL397" s="113"/>
      <c r="BM397" s="113"/>
      <c r="BN397" s="113"/>
      <c r="BO397" s="113"/>
      <c r="BP397" s="113"/>
      <c r="BQ397" s="113"/>
      <c r="BR397" s="113"/>
      <c r="BS397" s="113"/>
      <c r="BT397" s="113"/>
      <c r="BU397" s="113"/>
      <c r="BV397" s="113"/>
      <c r="BW397" s="113"/>
      <c r="BX397" s="113"/>
      <c r="BY397" s="113"/>
      <c r="BZ397" s="113"/>
      <c r="CA397" s="113"/>
      <c r="CB397" s="113"/>
    </row>
    <row r="398" spans="5:80" x14ac:dyDescent="0.25">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c r="AC398" s="113"/>
      <c r="AD398" s="113"/>
      <c r="AE398" s="113"/>
      <c r="AF398" s="113"/>
      <c r="AG398" s="113"/>
      <c r="AH398" s="113"/>
      <c r="AI398" s="113"/>
      <c r="AJ398" s="113"/>
      <c r="AK398" s="113"/>
      <c r="AL398" s="113"/>
      <c r="AM398" s="113"/>
      <c r="AN398" s="113"/>
      <c r="AO398" s="113"/>
      <c r="AP398" s="113"/>
      <c r="AQ398" s="113"/>
      <c r="AR398" s="113"/>
      <c r="AS398" s="113"/>
      <c r="AT398" s="113"/>
      <c r="AU398" s="113"/>
      <c r="AV398" s="113"/>
      <c r="AW398" s="113"/>
      <c r="AX398" s="113"/>
      <c r="AY398" s="113"/>
      <c r="AZ398" s="113"/>
      <c r="BA398" s="113"/>
      <c r="BB398" s="113"/>
      <c r="BC398" s="113"/>
      <c r="BD398" s="113"/>
      <c r="BE398" s="113"/>
      <c r="BF398" s="113"/>
      <c r="BG398" s="113"/>
      <c r="BH398" s="113"/>
      <c r="BI398" s="113"/>
      <c r="BJ398" s="113"/>
      <c r="BK398" s="113"/>
      <c r="BL398" s="113"/>
      <c r="BM398" s="113"/>
      <c r="BN398" s="113"/>
      <c r="BO398" s="113"/>
      <c r="BP398" s="113"/>
      <c r="BQ398" s="113"/>
      <c r="BR398" s="113"/>
      <c r="BS398" s="113"/>
      <c r="BT398" s="113"/>
      <c r="BU398" s="113"/>
      <c r="BV398" s="113"/>
      <c r="BW398" s="113"/>
      <c r="BX398" s="113"/>
      <c r="BY398" s="113"/>
      <c r="BZ398" s="113"/>
      <c r="CA398" s="113"/>
      <c r="CB398" s="113"/>
    </row>
    <row r="399" spans="5:80" x14ac:dyDescent="0.25">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c r="AC399" s="113"/>
      <c r="AD399" s="113"/>
      <c r="AE399" s="113"/>
      <c r="AF399" s="113"/>
      <c r="AG399" s="113"/>
      <c r="AH399" s="113"/>
      <c r="AI399" s="113"/>
      <c r="AJ399" s="113"/>
      <c r="AK399" s="113"/>
      <c r="AL399" s="113"/>
      <c r="AM399" s="113"/>
      <c r="AN399" s="113"/>
      <c r="AO399" s="113"/>
      <c r="AP399" s="113"/>
      <c r="AQ399" s="113"/>
      <c r="AR399" s="113"/>
      <c r="AS399" s="113"/>
      <c r="AT399" s="113"/>
      <c r="AU399" s="113"/>
      <c r="AV399" s="113"/>
      <c r="AW399" s="113"/>
      <c r="AX399" s="113"/>
      <c r="AY399" s="113"/>
      <c r="AZ399" s="113"/>
      <c r="BA399" s="113"/>
      <c r="BB399" s="113"/>
      <c r="BC399" s="113"/>
      <c r="BD399" s="113"/>
      <c r="BE399" s="113"/>
      <c r="BF399" s="113"/>
      <c r="BG399" s="113"/>
      <c r="BH399" s="113"/>
      <c r="BI399" s="113"/>
      <c r="BJ399" s="113"/>
      <c r="BK399" s="113"/>
      <c r="BL399" s="113"/>
      <c r="BM399" s="113"/>
      <c r="BN399" s="113"/>
      <c r="BO399" s="113"/>
      <c r="BP399" s="113"/>
      <c r="BQ399" s="113"/>
      <c r="BR399" s="113"/>
      <c r="BS399" s="113"/>
      <c r="BT399" s="113"/>
      <c r="BU399" s="113"/>
      <c r="BV399" s="113"/>
      <c r="BW399" s="113"/>
      <c r="BX399" s="113"/>
      <c r="BY399" s="113"/>
      <c r="BZ399" s="113"/>
      <c r="CA399" s="113"/>
      <c r="CB399" s="113"/>
    </row>
    <row r="400" spans="5:80" x14ac:dyDescent="0.25">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c r="AC400" s="113"/>
      <c r="AD400" s="113"/>
      <c r="AE400" s="113"/>
      <c r="AF400" s="113"/>
      <c r="AG400" s="113"/>
      <c r="AH400" s="113"/>
      <c r="AI400" s="113"/>
      <c r="AJ400" s="113"/>
      <c r="AK400" s="113"/>
      <c r="AL400" s="113"/>
      <c r="AM400" s="113"/>
      <c r="AN400" s="113"/>
      <c r="AO400" s="113"/>
      <c r="AP400" s="113"/>
      <c r="AQ400" s="113"/>
      <c r="AR400" s="113"/>
      <c r="AS400" s="113"/>
      <c r="AT400" s="113"/>
      <c r="AU400" s="113"/>
      <c r="AV400" s="113"/>
      <c r="AW400" s="113"/>
      <c r="AX400" s="113"/>
      <c r="AY400" s="113"/>
      <c r="AZ400" s="113"/>
      <c r="BA400" s="113"/>
      <c r="BB400" s="113"/>
      <c r="BC400" s="113"/>
      <c r="BD400" s="113"/>
      <c r="BE400" s="113"/>
      <c r="BF400" s="113"/>
      <c r="BG400" s="113"/>
      <c r="BH400" s="113"/>
      <c r="BI400" s="113"/>
      <c r="BJ400" s="113"/>
      <c r="BK400" s="113"/>
      <c r="BL400" s="113"/>
      <c r="BM400" s="113"/>
      <c r="BN400" s="113"/>
      <c r="BO400" s="113"/>
      <c r="BP400" s="113"/>
      <c r="BQ400" s="113"/>
      <c r="BR400" s="113"/>
      <c r="BS400" s="113"/>
      <c r="BT400" s="113"/>
      <c r="BU400" s="113"/>
      <c r="BV400" s="113"/>
      <c r="BW400" s="113"/>
      <c r="BX400" s="113"/>
      <c r="BY400" s="113"/>
      <c r="BZ400" s="113"/>
      <c r="CA400" s="113"/>
      <c r="CB400" s="113"/>
    </row>
    <row r="401" spans="5:80" x14ac:dyDescent="0.25">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c r="AC401" s="113"/>
      <c r="AD401" s="113"/>
      <c r="AE401" s="113"/>
      <c r="AF401" s="113"/>
      <c r="AG401" s="113"/>
      <c r="AH401" s="113"/>
      <c r="AI401" s="113"/>
      <c r="AJ401" s="113"/>
      <c r="AK401" s="113"/>
      <c r="AL401" s="113"/>
      <c r="AM401" s="113"/>
      <c r="AN401" s="113"/>
      <c r="AO401" s="113"/>
      <c r="AP401" s="113"/>
      <c r="AQ401" s="113"/>
      <c r="AR401" s="113"/>
      <c r="AS401" s="113"/>
      <c r="AT401" s="113"/>
      <c r="AU401" s="113"/>
      <c r="AV401" s="113"/>
      <c r="AW401" s="113"/>
      <c r="AX401" s="113"/>
      <c r="AY401" s="113"/>
      <c r="AZ401" s="113"/>
      <c r="BA401" s="113"/>
      <c r="BB401" s="113"/>
      <c r="BC401" s="113"/>
      <c r="BD401" s="113"/>
      <c r="BE401" s="113"/>
      <c r="BF401" s="113"/>
      <c r="BG401" s="113"/>
      <c r="BH401" s="113"/>
      <c r="BI401" s="113"/>
      <c r="BJ401" s="113"/>
      <c r="BK401" s="113"/>
      <c r="BL401" s="113"/>
      <c r="BM401" s="113"/>
      <c r="BN401" s="113"/>
      <c r="BO401" s="113"/>
      <c r="BP401" s="113"/>
      <c r="BQ401" s="113"/>
      <c r="BR401" s="113"/>
      <c r="BS401" s="113"/>
      <c r="BT401" s="113"/>
      <c r="BU401" s="113"/>
      <c r="BV401" s="113"/>
      <c r="BW401" s="113"/>
      <c r="BX401" s="113"/>
      <c r="BY401" s="113"/>
      <c r="BZ401" s="113"/>
      <c r="CA401" s="113"/>
      <c r="CB401" s="113"/>
    </row>
    <row r="402" spans="5:80" x14ac:dyDescent="0.25">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c r="AC402" s="113"/>
      <c r="AD402" s="113"/>
      <c r="AE402" s="113"/>
      <c r="AF402" s="113"/>
      <c r="AG402" s="113"/>
      <c r="AH402" s="113"/>
      <c r="AI402" s="113"/>
      <c r="AJ402" s="113"/>
      <c r="AK402" s="113"/>
      <c r="AL402" s="113"/>
      <c r="AM402" s="113"/>
      <c r="AN402" s="113"/>
      <c r="AO402" s="113"/>
      <c r="AP402" s="113"/>
      <c r="AQ402" s="113"/>
      <c r="AR402" s="113"/>
      <c r="AS402" s="113"/>
      <c r="AT402" s="113"/>
      <c r="AU402" s="113"/>
      <c r="AV402" s="113"/>
      <c r="AW402" s="113"/>
      <c r="AX402" s="113"/>
      <c r="AY402" s="113"/>
      <c r="AZ402" s="113"/>
      <c r="BA402" s="113"/>
      <c r="BB402" s="113"/>
      <c r="BC402" s="113"/>
      <c r="BD402" s="113"/>
      <c r="BE402" s="113"/>
      <c r="BF402" s="113"/>
      <c r="BG402" s="113"/>
      <c r="BH402" s="113"/>
      <c r="BI402" s="113"/>
      <c r="BJ402" s="113"/>
      <c r="BK402" s="113"/>
      <c r="BL402" s="113"/>
      <c r="BM402" s="113"/>
      <c r="BN402" s="113"/>
      <c r="BO402" s="113"/>
      <c r="BP402" s="113"/>
      <c r="BQ402" s="113"/>
      <c r="BR402" s="113"/>
      <c r="BS402" s="113"/>
      <c r="BT402" s="113"/>
      <c r="BU402" s="113"/>
      <c r="BV402" s="113"/>
      <c r="BW402" s="113"/>
      <c r="BX402" s="113"/>
      <c r="BY402" s="113"/>
      <c r="BZ402" s="113"/>
      <c r="CA402" s="113"/>
      <c r="CB402" s="113"/>
    </row>
    <row r="403" spans="5:80" x14ac:dyDescent="0.25">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c r="AC403" s="113"/>
      <c r="AD403" s="113"/>
      <c r="AE403" s="113"/>
      <c r="AF403" s="113"/>
      <c r="AG403" s="113"/>
      <c r="AH403" s="113"/>
      <c r="AI403" s="113"/>
      <c r="AJ403" s="113"/>
      <c r="AK403" s="113"/>
      <c r="AL403" s="113"/>
      <c r="AM403" s="113"/>
      <c r="AN403" s="113"/>
      <c r="AO403" s="113"/>
      <c r="AP403" s="113"/>
      <c r="AQ403" s="113"/>
      <c r="AR403" s="113"/>
      <c r="AS403" s="113"/>
      <c r="AT403" s="113"/>
      <c r="AU403" s="113"/>
      <c r="AV403" s="113"/>
      <c r="AW403" s="113"/>
      <c r="AX403" s="113"/>
      <c r="AY403" s="113"/>
      <c r="AZ403" s="113"/>
      <c r="BA403" s="113"/>
      <c r="BB403" s="113"/>
      <c r="BC403" s="113"/>
      <c r="BD403" s="113"/>
      <c r="BE403" s="113"/>
      <c r="BF403" s="113"/>
      <c r="BG403" s="113"/>
      <c r="BH403" s="113"/>
      <c r="BI403" s="113"/>
      <c r="BJ403" s="113"/>
      <c r="BK403" s="113"/>
      <c r="BL403" s="113"/>
      <c r="BM403" s="113"/>
      <c r="BN403" s="113"/>
      <c r="BO403" s="113"/>
      <c r="BP403" s="113"/>
      <c r="BQ403" s="113"/>
      <c r="BR403" s="113"/>
      <c r="BS403" s="113"/>
      <c r="BT403" s="113"/>
      <c r="BU403" s="113"/>
      <c r="BV403" s="113"/>
      <c r="BW403" s="113"/>
      <c r="BX403" s="113"/>
      <c r="BY403" s="113"/>
      <c r="BZ403" s="113"/>
      <c r="CA403" s="113"/>
      <c r="CB403" s="113"/>
    </row>
    <row r="404" spans="5:80" x14ac:dyDescent="0.25">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c r="AC404" s="113"/>
      <c r="AD404" s="113"/>
      <c r="AE404" s="113"/>
      <c r="AF404" s="113"/>
      <c r="AG404" s="113"/>
      <c r="AH404" s="113"/>
      <c r="AI404" s="113"/>
      <c r="AJ404" s="113"/>
      <c r="AK404" s="113"/>
      <c r="AL404" s="113"/>
      <c r="AM404" s="113"/>
      <c r="AN404" s="113"/>
      <c r="AO404" s="113"/>
      <c r="AP404" s="113"/>
      <c r="AQ404" s="113"/>
      <c r="AR404" s="113"/>
      <c r="AS404" s="113"/>
      <c r="AT404" s="113"/>
      <c r="AU404" s="113"/>
      <c r="AV404" s="113"/>
      <c r="AW404" s="113"/>
      <c r="AX404" s="113"/>
      <c r="AY404" s="113"/>
      <c r="AZ404" s="113"/>
      <c r="BA404" s="113"/>
      <c r="BB404" s="113"/>
      <c r="BC404" s="113"/>
      <c r="BD404" s="113"/>
      <c r="BE404" s="113"/>
      <c r="BF404" s="113"/>
      <c r="BG404" s="113"/>
      <c r="BH404" s="113"/>
      <c r="BI404" s="113"/>
      <c r="BJ404" s="113"/>
      <c r="BK404" s="113"/>
      <c r="BL404" s="113"/>
      <c r="BM404" s="113"/>
      <c r="BN404" s="113"/>
      <c r="BO404" s="113"/>
      <c r="BP404" s="113"/>
      <c r="BQ404" s="113"/>
      <c r="BR404" s="113"/>
      <c r="BS404" s="113"/>
      <c r="BT404" s="113"/>
      <c r="BU404" s="113"/>
      <c r="BV404" s="113"/>
      <c r="BW404" s="113"/>
      <c r="BX404" s="113"/>
      <c r="BY404" s="113"/>
      <c r="BZ404" s="113"/>
      <c r="CA404" s="113"/>
      <c r="CB404" s="113"/>
    </row>
    <row r="405" spans="5:80" x14ac:dyDescent="0.25">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c r="AC405" s="113"/>
      <c r="AD405" s="113"/>
      <c r="AE405" s="113"/>
      <c r="AF405" s="113"/>
      <c r="AG405" s="113"/>
      <c r="AH405" s="113"/>
      <c r="AI405" s="113"/>
      <c r="AJ405" s="113"/>
      <c r="AK405" s="113"/>
      <c r="AL405" s="113"/>
      <c r="AM405" s="113"/>
      <c r="AN405" s="113"/>
      <c r="AO405" s="113"/>
      <c r="AP405" s="113"/>
      <c r="AQ405" s="113"/>
      <c r="AR405" s="113"/>
      <c r="AS405" s="113"/>
      <c r="AT405" s="113"/>
      <c r="AU405" s="113"/>
      <c r="AV405" s="113"/>
      <c r="AW405" s="113"/>
      <c r="AX405" s="113"/>
      <c r="AY405" s="113"/>
      <c r="AZ405" s="113"/>
      <c r="BA405" s="113"/>
      <c r="BB405" s="113"/>
      <c r="BC405" s="113"/>
      <c r="BD405" s="113"/>
      <c r="BE405" s="113"/>
      <c r="BF405" s="113"/>
      <c r="BG405" s="113"/>
      <c r="BH405" s="113"/>
      <c r="BI405" s="113"/>
      <c r="BJ405" s="113"/>
      <c r="BK405" s="113"/>
      <c r="BL405" s="113"/>
      <c r="BM405" s="113"/>
      <c r="BN405" s="113"/>
      <c r="BO405" s="113"/>
      <c r="BP405" s="113"/>
      <c r="BQ405" s="113"/>
      <c r="BR405" s="113"/>
      <c r="BS405" s="113"/>
      <c r="BT405" s="113"/>
      <c r="BU405" s="113"/>
      <c r="BV405" s="113"/>
      <c r="BW405" s="113"/>
      <c r="BX405" s="113"/>
      <c r="BY405" s="113"/>
      <c r="BZ405" s="113"/>
      <c r="CA405" s="113"/>
      <c r="CB405" s="113"/>
    </row>
    <row r="406" spans="5:80" x14ac:dyDescent="0.25">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c r="AC406" s="113"/>
      <c r="AD406" s="113"/>
      <c r="AE406" s="113"/>
      <c r="AF406" s="113"/>
      <c r="AG406" s="113"/>
      <c r="AH406" s="113"/>
      <c r="AI406" s="113"/>
      <c r="AJ406" s="113"/>
      <c r="AK406" s="113"/>
      <c r="AL406" s="113"/>
      <c r="AM406" s="113"/>
      <c r="AN406" s="113"/>
      <c r="AO406" s="113"/>
      <c r="AP406" s="113"/>
      <c r="AQ406" s="113"/>
      <c r="AR406" s="113"/>
      <c r="AS406" s="113"/>
      <c r="AT406" s="113"/>
      <c r="AU406" s="113"/>
      <c r="AV406" s="113"/>
      <c r="AW406" s="113"/>
      <c r="AX406" s="113"/>
      <c r="AY406" s="113"/>
      <c r="AZ406" s="113"/>
      <c r="BA406" s="113"/>
      <c r="BB406" s="113"/>
      <c r="BC406" s="113"/>
      <c r="BD406" s="113"/>
      <c r="BE406" s="113"/>
      <c r="BF406" s="113"/>
      <c r="BG406" s="113"/>
      <c r="BH406" s="113"/>
      <c r="BI406" s="113"/>
      <c r="BJ406" s="113"/>
      <c r="BK406" s="113"/>
      <c r="BL406" s="113"/>
      <c r="BM406" s="113"/>
      <c r="BN406" s="113"/>
      <c r="BO406" s="113"/>
      <c r="BP406" s="113"/>
      <c r="BQ406" s="113"/>
      <c r="BR406" s="113"/>
      <c r="BS406" s="113"/>
      <c r="BT406" s="113"/>
      <c r="BU406" s="113"/>
      <c r="BV406" s="113"/>
      <c r="BW406" s="113"/>
      <c r="BX406" s="113"/>
      <c r="BY406" s="113"/>
      <c r="BZ406" s="113"/>
      <c r="CA406" s="113"/>
      <c r="CB406" s="113"/>
    </row>
    <row r="407" spans="5:80" x14ac:dyDescent="0.25">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c r="AC407" s="113"/>
      <c r="AD407" s="113"/>
      <c r="AE407" s="113"/>
      <c r="AF407" s="113"/>
      <c r="AG407" s="113"/>
      <c r="AH407" s="113"/>
      <c r="AI407" s="113"/>
      <c r="AJ407" s="113"/>
      <c r="AK407" s="113"/>
      <c r="AL407" s="113"/>
      <c r="AM407" s="113"/>
      <c r="AN407" s="113"/>
      <c r="AO407" s="113"/>
      <c r="AP407" s="113"/>
      <c r="AQ407" s="113"/>
      <c r="AR407" s="113"/>
      <c r="AS407" s="113"/>
      <c r="AT407" s="113"/>
      <c r="AU407" s="113"/>
      <c r="AV407" s="113"/>
      <c r="AW407" s="113"/>
      <c r="AX407" s="113"/>
      <c r="AY407" s="113"/>
      <c r="AZ407" s="113"/>
      <c r="BA407" s="113"/>
      <c r="BB407" s="113"/>
      <c r="BC407" s="113"/>
      <c r="BD407" s="113"/>
      <c r="BE407" s="113"/>
      <c r="BF407" s="113"/>
      <c r="BG407" s="113"/>
      <c r="BH407" s="113"/>
      <c r="BI407" s="113"/>
      <c r="BJ407" s="113"/>
      <c r="BK407" s="113"/>
      <c r="BL407" s="113"/>
      <c r="BM407" s="113"/>
      <c r="BN407" s="113"/>
      <c r="BO407" s="113"/>
      <c r="BP407" s="113"/>
      <c r="BQ407" s="113"/>
      <c r="BR407" s="113"/>
      <c r="BS407" s="113"/>
      <c r="BT407" s="113"/>
      <c r="BU407" s="113"/>
      <c r="BV407" s="113"/>
      <c r="BW407" s="113"/>
      <c r="BX407" s="113"/>
      <c r="BY407" s="113"/>
      <c r="BZ407" s="113"/>
      <c r="CA407" s="113"/>
      <c r="CB407" s="113"/>
    </row>
    <row r="408" spans="5:80" x14ac:dyDescent="0.25">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c r="AC408" s="113"/>
      <c r="AD408" s="113"/>
      <c r="AE408" s="113"/>
      <c r="AF408" s="113"/>
      <c r="AG408" s="113"/>
      <c r="AH408" s="113"/>
      <c r="AI408" s="113"/>
      <c r="AJ408" s="113"/>
      <c r="AK408" s="113"/>
      <c r="AL408" s="113"/>
      <c r="AM408" s="113"/>
      <c r="AN408" s="113"/>
      <c r="AO408" s="113"/>
      <c r="AP408" s="113"/>
      <c r="AQ408" s="113"/>
      <c r="AR408" s="113"/>
      <c r="AS408" s="113"/>
      <c r="AT408" s="113"/>
      <c r="AU408" s="113"/>
      <c r="AV408" s="113"/>
      <c r="AW408" s="113"/>
      <c r="AX408" s="113"/>
      <c r="AY408" s="113"/>
      <c r="AZ408" s="113"/>
      <c r="BA408" s="113"/>
      <c r="BB408" s="113"/>
      <c r="BC408" s="113"/>
      <c r="BD408" s="113"/>
      <c r="BE408" s="113"/>
      <c r="BF408" s="113"/>
      <c r="BG408" s="113"/>
      <c r="BH408" s="113"/>
      <c r="BI408" s="113"/>
      <c r="BJ408" s="113"/>
      <c r="BK408" s="113"/>
      <c r="BL408" s="113"/>
      <c r="BM408" s="113"/>
      <c r="BN408" s="113"/>
      <c r="BO408" s="113"/>
      <c r="BP408" s="113"/>
      <c r="BQ408" s="113"/>
      <c r="BR408" s="113"/>
      <c r="BS408" s="113"/>
      <c r="BT408" s="113"/>
      <c r="BU408" s="113"/>
      <c r="BV408" s="113"/>
      <c r="BW408" s="113"/>
      <c r="BX408" s="113"/>
      <c r="BY408" s="113"/>
      <c r="BZ408" s="113"/>
      <c r="CA408" s="113"/>
      <c r="CB408" s="113"/>
    </row>
    <row r="409" spans="5:80" x14ac:dyDescent="0.25">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c r="AC409" s="113"/>
      <c r="AD409" s="113"/>
      <c r="AE409" s="113"/>
      <c r="AF409" s="113"/>
      <c r="AG409" s="113"/>
      <c r="AH409" s="113"/>
      <c r="AI409" s="113"/>
      <c r="AJ409" s="113"/>
      <c r="AK409" s="113"/>
      <c r="AL409" s="113"/>
      <c r="AM409" s="113"/>
      <c r="AN409" s="113"/>
      <c r="AO409" s="113"/>
      <c r="AP409" s="113"/>
      <c r="AQ409" s="113"/>
      <c r="AR409" s="113"/>
      <c r="AS409" s="113"/>
      <c r="AT409" s="113"/>
      <c r="AU409" s="113"/>
      <c r="AV409" s="113"/>
      <c r="AW409" s="113"/>
      <c r="AX409" s="113"/>
      <c r="AY409" s="113"/>
      <c r="AZ409" s="113"/>
      <c r="BA409" s="113"/>
      <c r="BB409" s="113"/>
      <c r="BC409" s="113"/>
      <c r="BD409" s="113"/>
      <c r="BE409" s="113"/>
      <c r="BF409" s="113"/>
      <c r="BG409" s="113"/>
      <c r="BH409" s="113"/>
      <c r="BI409" s="113"/>
      <c r="BJ409" s="113"/>
      <c r="BK409" s="113"/>
      <c r="BL409" s="113"/>
      <c r="BM409" s="113"/>
      <c r="BN409" s="113"/>
      <c r="BO409" s="113"/>
      <c r="BP409" s="113"/>
      <c r="BQ409" s="113"/>
      <c r="BR409" s="113"/>
      <c r="BS409" s="113"/>
      <c r="BT409" s="113"/>
      <c r="BU409" s="113"/>
      <c r="BV409" s="113"/>
      <c r="BW409" s="113"/>
      <c r="BX409" s="113"/>
      <c r="BY409" s="113"/>
      <c r="BZ409" s="113"/>
      <c r="CA409" s="113"/>
      <c r="CB409" s="113"/>
    </row>
    <row r="410" spans="5:80" x14ac:dyDescent="0.25">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c r="AC410" s="113"/>
      <c r="AD410" s="113"/>
      <c r="AE410" s="113"/>
      <c r="AF410" s="113"/>
      <c r="AG410" s="113"/>
      <c r="AH410" s="113"/>
      <c r="AI410" s="113"/>
      <c r="AJ410" s="113"/>
      <c r="AK410" s="113"/>
      <c r="AL410" s="113"/>
      <c r="AM410" s="113"/>
      <c r="AN410" s="113"/>
      <c r="AO410" s="113"/>
      <c r="AP410" s="113"/>
      <c r="AQ410" s="113"/>
      <c r="AR410" s="113"/>
      <c r="AS410" s="113"/>
      <c r="AT410" s="113"/>
      <c r="AU410" s="113"/>
      <c r="AV410" s="113"/>
      <c r="AW410" s="113"/>
      <c r="AX410" s="113"/>
      <c r="AY410" s="113"/>
      <c r="AZ410" s="113"/>
      <c r="BA410" s="113"/>
      <c r="BB410" s="113"/>
      <c r="BC410" s="113"/>
      <c r="BD410" s="113"/>
      <c r="BE410" s="113"/>
      <c r="BF410" s="113"/>
      <c r="BG410" s="113"/>
      <c r="BH410" s="113"/>
      <c r="BI410" s="113"/>
      <c r="BJ410" s="113"/>
      <c r="BK410" s="113"/>
      <c r="BL410" s="113"/>
      <c r="BM410" s="113"/>
      <c r="BN410" s="113"/>
      <c r="BO410" s="113"/>
      <c r="BP410" s="113"/>
      <c r="BQ410" s="113"/>
      <c r="BR410" s="113"/>
      <c r="BS410" s="113"/>
      <c r="BT410" s="113"/>
      <c r="BU410" s="113"/>
      <c r="BV410" s="113"/>
      <c r="BW410" s="113"/>
      <c r="BX410" s="113"/>
      <c r="BY410" s="113"/>
      <c r="BZ410" s="113"/>
      <c r="CA410" s="113"/>
      <c r="CB410" s="113"/>
    </row>
    <row r="411" spans="5:80" x14ac:dyDescent="0.25">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c r="AC411" s="113"/>
      <c r="AD411" s="113"/>
      <c r="AE411" s="113"/>
      <c r="AF411" s="113"/>
      <c r="AG411" s="113"/>
      <c r="AH411" s="113"/>
      <c r="AI411" s="113"/>
      <c r="AJ411" s="113"/>
      <c r="AK411" s="113"/>
      <c r="AL411" s="113"/>
      <c r="AM411" s="113"/>
      <c r="AN411" s="113"/>
      <c r="AO411" s="113"/>
      <c r="AP411" s="113"/>
      <c r="AQ411" s="113"/>
      <c r="AR411" s="113"/>
      <c r="AS411" s="113"/>
      <c r="AT411" s="113"/>
      <c r="AU411" s="113"/>
      <c r="AV411" s="113"/>
      <c r="AW411" s="113"/>
      <c r="AX411" s="113"/>
      <c r="AY411" s="113"/>
      <c r="AZ411" s="113"/>
      <c r="BA411" s="113"/>
      <c r="BB411" s="113"/>
      <c r="BC411" s="113"/>
      <c r="BD411" s="113"/>
      <c r="BE411" s="113"/>
      <c r="BF411" s="113"/>
      <c r="BG411" s="113"/>
      <c r="BH411" s="113"/>
      <c r="BI411" s="113"/>
      <c r="BJ411" s="113"/>
      <c r="BK411" s="113"/>
      <c r="BL411" s="113"/>
      <c r="BM411" s="113"/>
      <c r="BN411" s="113"/>
      <c r="BO411" s="113"/>
      <c r="BP411" s="113"/>
      <c r="BQ411" s="113"/>
      <c r="BR411" s="113"/>
      <c r="BS411" s="113"/>
      <c r="BT411" s="113"/>
      <c r="BU411" s="113"/>
      <c r="BV411" s="113"/>
      <c r="BW411" s="113"/>
      <c r="BX411" s="113"/>
      <c r="BY411" s="113"/>
      <c r="BZ411" s="113"/>
      <c r="CA411" s="113"/>
      <c r="CB411" s="113"/>
    </row>
    <row r="412" spans="5:80" x14ac:dyDescent="0.25">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c r="AC412" s="113"/>
      <c r="AD412" s="113"/>
      <c r="AE412" s="113"/>
      <c r="AF412" s="113"/>
      <c r="AG412" s="113"/>
      <c r="AH412" s="113"/>
      <c r="AI412" s="113"/>
      <c r="AJ412" s="113"/>
      <c r="AK412" s="113"/>
      <c r="AL412" s="113"/>
      <c r="AM412" s="113"/>
      <c r="AN412" s="113"/>
      <c r="AO412" s="113"/>
      <c r="AP412" s="113"/>
      <c r="AQ412" s="113"/>
      <c r="AR412" s="113"/>
      <c r="AS412" s="113"/>
      <c r="AT412" s="113"/>
      <c r="AU412" s="113"/>
      <c r="AV412" s="113"/>
      <c r="AW412" s="113"/>
      <c r="AX412" s="113"/>
      <c r="AY412" s="113"/>
      <c r="AZ412" s="113"/>
      <c r="BA412" s="113"/>
      <c r="BB412" s="113"/>
      <c r="BC412" s="113"/>
      <c r="BD412" s="113"/>
      <c r="BE412" s="113"/>
      <c r="BF412" s="113"/>
      <c r="BG412" s="113"/>
      <c r="BH412" s="113"/>
      <c r="BI412" s="113"/>
      <c r="BJ412" s="113"/>
      <c r="BK412" s="113"/>
      <c r="BL412" s="113"/>
      <c r="BM412" s="113"/>
      <c r="BN412" s="113"/>
      <c r="BO412" s="113"/>
      <c r="BP412" s="113"/>
      <c r="BQ412" s="113"/>
      <c r="BR412" s="113"/>
      <c r="BS412" s="113"/>
      <c r="BT412" s="113"/>
      <c r="BU412" s="113"/>
      <c r="BV412" s="113"/>
      <c r="BW412" s="113"/>
      <c r="BX412" s="113"/>
      <c r="BY412" s="113"/>
      <c r="BZ412" s="113"/>
      <c r="CA412" s="113"/>
      <c r="CB412" s="113"/>
    </row>
    <row r="413" spans="5:80" x14ac:dyDescent="0.25">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c r="AC413" s="113"/>
      <c r="AD413" s="113"/>
      <c r="AE413" s="113"/>
      <c r="AF413" s="113"/>
      <c r="AG413" s="113"/>
      <c r="AH413" s="113"/>
      <c r="AI413" s="113"/>
      <c r="AJ413" s="113"/>
      <c r="AK413" s="113"/>
      <c r="AL413" s="113"/>
      <c r="AM413" s="113"/>
      <c r="AN413" s="113"/>
      <c r="AO413" s="113"/>
      <c r="AP413" s="113"/>
      <c r="AQ413" s="113"/>
      <c r="AR413" s="113"/>
      <c r="AS413" s="113"/>
      <c r="AT413" s="113"/>
      <c r="AU413" s="113"/>
      <c r="AV413" s="113"/>
      <c r="AW413" s="113"/>
      <c r="AX413" s="113"/>
      <c r="AY413" s="113"/>
      <c r="AZ413" s="113"/>
      <c r="BA413" s="113"/>
      <c r="BB413" s="113"/>
      <c r="BC413" s="113"/>
      <c r="BD413" s="113"/>
      <c r="BE413" s="113"/>
      <c r="BF413" s="113"/>
      <c r="BG413" s="113"/>
      <c r="BH413" s="113"/>
      <c r="BI413" s="113"/>
      <c r="BJ413" s="113"/>
      <c r="BK413" s="113"/>
      <c r="BL413" s="113"/>
      <c r="BM413" s="113"/>
      <c r="BN413" s="113"/>
      <c r="BO413" s="113"/>
      <c r="BP413" s="113"/>
      <c r="BQ413" s="113"/>
      <c r="BR413" s="113"/>
      <c r="BS413" s="113"/>
      <c r="BT413" s="113"/>
      <c r="BU413" s="113"/>
      <c r="BV413" s="113"/>
      <c r="BW413" s="113"/>
      <c r="BX413" s="113"/>
      <c r="BY413" s="113"/>
      <c r="BZ413" s="113"/>
      <c r="CA413" s="113"/>
      <c r="CB413" s="113"/>
    </row>
    <row r="414" spans="5:80" x14ac:dyDescent="0.25">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c r="AC414" s="113"/>
      <c r="AD414" s="113"/>
      <c r="AE414" s="113"/>
      <c r="AF414" s="113"/>
      <c r="AG414" s="113"/>
      <c r="AH414" s="113"/>
      <c r="AI414" s="113"/>
      <c r="AJ414" s="113"/>
      <c r="AK414" s="113"/>
      <c r="AL414" s="113"/>
      <c r="AM414" s="113"/>
      <c r="AN414" s="113"/>
      <c r="AO414" s="113"/>
      <c r="AP414" s="113"/>
      <c r="AQ414" s="113"/>
      <c r="AR414" s="113"/>
      <c r="AS414" s="113"/>
      <c r="AT414" s="113"/>
      <c r="AU414" s="113"/>
      <c r="AV414" s="113"/>
      <c r="AW414" s="113"/>
      <c r="AX414" s="113"/>
      <c r="AY414" s="113"/>
      <c r="AZ414" s="113"/>
      <c r="BA414" s="113"/>
      <c r="BB414" s="113"/>
      <c r="BC414" s="113"/>
      <c r="BD414" s="113"/>
      <c r="BE414" s="113"/>
      <c r="BF414" s="113"/>
      <c r="BG414" s="113"/>
      <c r="BH414" s="113"/>
      <c r="BI414" s="113"/>
      <c r="BJ414" s="113"/>
      <c r="BK414" s="113"/>
      <c r="BL414" s="113"/>
      <c r="BM414" s="113"/>
      <c r="BN414" s="113"/>
      <c r="BO414" s="113"/>
      <c r="BP414" s="113"/>
      <c r="BQ414" s="113"/>
      <c r="BR414" s="113"/>
      <c r="BS414" s="113"/>
      <c r="BT414" s="113"/>
      <c r="BU414" s="113"/>
      <c r="BV414" s="113"/>
      <c r="BW414" s="113"/>
      <c r="BX414" s="113"/>
      <c r="BY414" s="113"/>
      <c r="BZ414" s="113"/>
      <c r="CA414" s="113"/>
      <c r="CB414" s="113"/>
    </row>
    <row r="415" spans="5:80" x14ac:dyDescent="0.25">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c r="AC415" s="113"/>
      <c r="AD415" s="113"/>
      <c r="AE415" s="113"/>
      <c r="AF415" s="113"/>
      <c r="AG415" s="113"/>
      <c r="AH415" s="113"/>
      <c r="AI415" s="113"/>
      <c r="AJ415" s="113"/>
      <c r="AK415" s="113"/>
      <c r="AL415" s="113"/>
      <c r="AM415" s="113"/>
      <c r="AN415" s="113"/>
      <c r="AO415" s="113"/>
      <c r="AP415" s="113"/>
      <c r="AQ415" s="113"/>
      <c r="AR415" s="113"/>
      <c r="AS415" s="113"/>
      <c r="AT415" s="113"/>
      <c r="AU415" s="113"/>
      <c r="AV415" s="113"/>
      <c r="AW415" s="113"/>
      <c r="AX415" s="113"/>
      <c r="AY415" s="113"/>
      <c r="AZ415" s="113"/>
      <c r="BA415" s="113"/>
      <c r="BB415" s="113"/>
      <c r="BC415" s="113"/>
      <c r="BD415" s="113"/>
      <c r="BE415" s="113"/>
      <c r="BF415" s="113"/>
      <c r="BG415" s="113"/>
      <c r="BH415" s="113"/>
      <c r="BI415" s="113"/>
      <c r="BJ415" s="113"/>
      <c r="BK415" s="113"/>
      <c r="BL415" s="113"/>
      <c r="BM415" s="113"/>
      <c r="BN415" s="113"/>
      <c r="BO415" s="113"/>
      <c r="BP415" s="113"/>
      <c r="BQ415" s="113"/>
      <c r="BR415" s="113"/>
      <c r="BS415" s="113"/>
      <c r="BT415" s="113"/>
      <c r="BU415" s="113"/>
      <c r="BV415" s="113"/>
      <c r="BW415" s="113"/>
      <c r="BX415" s="113"/>
      <c r="BY415" s="113"/>
      <c r="BZ415" s="113"/>
      <c r="CA415" s="113"/>
      <c r="CB415" s="113"/>
    </row>
    <row r="416" spans="5:80" x14ac:dyDescent="0.25">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c r="AC416" s="113"/>
      <c r="AD416" s="113"/>
      <c r="AE416" s="113"/>
      <c r="AF416" s="113"/>
      <c r="AG416" s="113"/>
      <c r="AH416" s="113"/>
      <c r="AI416" s="113"/>
      <c r="AJ416" s="113"/>
      <c r="AK416" s="113"/>
      <c r="AL416" s="113"/>
      <c r="AM416" s="113"/>
      <c r="AN416" s="113"/>
      <c r="AO416" s="113"/>
      <c r="AP416" s="113"/>
      <c r="AQ416" s="113"/>
      <c r="AR416" s="113"/>
      <c r="AS416" s="113"/>
      <c r="AT416" s="113"/>
      <c r="AU416" s="113"/>
      <c r="AV416" s="113"/>
      <c r="AW416" s="113"/>
      <c r="AX416" s="113"/>
      <c r="AY416" s="113"/>
      <c r="AZ416" s="113"/>
      <c r="BA416" s="113"/>
      <c r="BB416" s="113"/>
      <c r="BC416" s="113"/>
      <c r="BD416" s="113"/>
      <c r="BE416" s="113"/>
      <c r="BF416" s="113"/>
      <c r="BG416" s="113"/>
      <c r="BH416" s="113"/>
      <c r="BI416" s="113"/>
      <c r="BJ416" s="113"/>
      <c r="BK416" s="113"/>
      <c r="BL416" s="113"/>
      <c r="BM416" s="113"/>
      <c r="BN416" s="113"/>
      <c r="BO416" s="113"/>
      <c r="BP416" s="113"/>
      <c r="BQ416" s="113"/>
      <c r="BR416" s="113"/>
      <c r="BS416" s="113"/>
      <c r="BT416" s="113"/>
      <c r="BU416" s="113"/>
      <c r="BV416" s="113"/>
      <c r="BW416" s="113"/>
      <c r="BX416" s="113"/>
      <c r="BY416" s="113"/>
      <c r="BZ416" s="113"/>
      <c r="CA416" s="113"/>
      <c r="CB416" s="113"/>
    </row>
    <row r="417" spans="5:80" x14ac:dyDescent="0.25">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c r="AC417" s="113"/>
      <c r="AD417" s="113"/>
      <c r="AE417" s="113"/>
      <c r="AF417" s="113"/>
      <c r="AG417" s="113"/>
      <c r="AH417" s="113"/>
      <c r="AI417" s="113"/>
      <c r="AJ417" s="113"/>
      <c r="AK417" s="113"/>
      <c r="AL417" s="113"/>
      <c r="AM417" s="113"/>
      <c r="AN417" s="113"/>
      <c r="AO417" s="113"/>
      <c r="AP417" s="113"/>
      <c r="AQ417" s="113"/>
      <c r="AR417" s="113"/>
      <c r="AS417" s="113"/>
      <c r="AT417" s="113"/>
      <c r="AU417" s="113"/>
      <c r="AV417" s="113"/>
      <c r="AW417" s="113"/>
      <c r="AX417" s="113"/>
      <c r="AY417" s="113"/>
      <c r="AZ417" s="113"/>
      <c r="BA417" s="113"/>
      <c r="BB417" s="113"/>
      <c r="BC417" s="113"/>
      <c r="BD417" s="113"/>
      <c r="BE417" s="113"/>
      <c r="BF417" s="113"/>
      <c r="BG417" s="113"/>
      <c r="BH417" s="113"/>
      <c r="BI417" s="113"/>
      <c r="BJ417" s="113"/>
      <c r="BK417" s="113"/>
      <c r="BL417" s="113"/>
      <c r="BM417" s="113"/>
      <c r="BN417" s="113"/>
      <c r="BO417" s="113"/>
      <c r="BP417" s="113"/>
      <c r="BQ417" s="113"/>
      <c r="BR417" s="113"/>
      <c r="BS417" s="113"/>
      <c r="BT417" s="113"/>
      <c r="BU417" s="113"/>
      <c r="BV417" s="113"/>
      <c r="BW417" s="113"/>
      <c r="BX417" s="113"/>
      <c r="BY417" s="113"/>
      <c r="BZ417" s="113"/>
      <c r="CA417" s="113"/>
      <c r="CB417" s="113"/>
    </row>
    <row r="418" spans="5:80" x14ac:dyDescent="0.25">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c r="AC418" s="113"/>
      <c r="AD418" s="113"/>
      <c r="AE418" s="113"/>
      <c r="AF418" s="113"/>
      <c r="AG418" s="113"/>
      <c r="AH418" s="113"/>
      <c r="AI418" s="113"/>
      <c r="AJ418" s="113"/>
      <c r="AK418" s="113"/>
      <c r="AL418" s="113"/>
      <c r="AM418" s="113"/>
      <c r="AN418" s="113"/>
      <c r="AO418" s="113"/>
      <c r="AP418" s="113"/>
      <c r="AQ418" s="113"/>
      <c r="AR418" s="113"/>
      <c r="AS418" s="113"/>
      <c r="AT418" s="113"/>
      <c r="AU418" s="113"/>
      <c r="AV418" s="113"/>
      <c r="AW418" s="113"/>
      <c r="AX418" s="113"/>
      <c r="AY418" s="113"/>
      <c r="AZ418" s="113"/>
      <c r="BA418" s="113"/>
      <c r="BB418" s="113"/>
      <c r="BC418" s="113"/>
      <c r="BD418" s="113"/>
      <c r="BE418" s="113"/>
      <c r="BF418" s="113"/>
      <c r="BG418" s="113"/>
      <c r="BH418" s="113"/>
      <c r="BI418" s="113"/>
      <c r="BJ418" s="113"/>
      <c r="BK418" s="113"/>
      <c r="BL418" s="113"/>
      <c r="BM418" s="113"/>
      <c r="BN418" s="113"/>
      <c r="BO418" s="113"/>
      <c r="BP418" s="113"/>
      <c r="BQ418" s="113"/>
      <c r="BR418" s="113"/>
      <c r="BS418" s="113"/>
      <c r="BT418" s="113"/>
      <c r="BU418" s="113"/>
      <c r="BV418" s="113"/>
      <c r="BW418" s="113"/>
      <c r="BX418" s="113"/>
      <c r="BY418" s="113"/>
      <c r="BZ418" s="113"/>
      <c r="CA418" s="113"/>
      <c r="CB418" s="113"/>
    </row>
    <row r="419" spans="5:80" x14ac:dyDescent="0.25">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c r="AC419" s="113"/>
      <c r="AD419" s="113"/>
      <c r="AE419" s="113"/>
      <c r="AF419" s="113"/>
      <c r="AG419" s="113"/>
      <c r="AH419" s="113"/>
      <c r="AI419" s="113"/>
      <c r="AJ419" s="113"/>
      <c r="AK419" s="113"/>
      <c r="AL419" s="113"/>
      <c r="AM419" s="113"/>
      <c r="AN419" s="113"/>
      <c r="AO419" s="113"/>
      <c r="AP419" s="113"/>
      <c r="AQ419" s="113"/>
      <c r="AR419" s="113"/>
      <c r="AS419" s="113"/>
      <c r="AT419" s="113"/>
      <c r="AU419" s="113"/>
      <c r="AV419" s="113"/>
      <c r="AW419" s="113"/>
      <c r="AX419" s="113"/>
      <c r="AY419" s="113"/>
      <c r="AZ419" s="113"/>
      <c r="BA419" s="113"/>
      <c r="BB419" s="113"/>
      <c r="BC419" s="113"/>
      <c r="BD419" s="113"/>
      <c r="BE419" s="113"/>
      <c r="BF419" s="113"/>
      <c r="BG419" s="113"/>
      <c r="BH419" s="113"/>
      <c r="BI419" s="113"/>
      <c r="BJ419" s="113"/>
      <c r="BK419" s="113"/>
      <c r="BL419" s="113"/>
      <c r="BM419" s="113"/>
      <c r="BN419" s="113"/>
      <c r="BO419" s="113"/>
      <c r="BP419" s="113"/>
      <c r="BQ419" s="113"/>
      <c r="BR419" s="113"/>
      <c r="BS419" s="113"/>
      <c r="BT419" s="113"/>
      <c r="BU419" s="113"/>
      <c r="BV419" s="113"/>
      <c r="BW419" s="113"/>
      <c r="BX419" s="113"/>
      <c r="BY419" s="113"/>
      <c r="BZ419" s="113"/>
      <c r="CA419" s="113"/>
      <c r="CB419" s="113"/>
    </row>
    <row r="420" spans="5:80" x14ac:dyDescent="0.25">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3"/>
      <c r="AY420" s="113"/>
      <c r="AZ420" s="113"/>
      <c r="BA420" s="113"/>
      <c r="BB420" s="113"/>
      <c r="BC420" s="113"/>
      <c r="BD420" s="113"/>
      <c r="BE420" s="113"/>
      <c r="BF420" s="113"/>
      <c r="BG420" s="113"/>
      <c r="BH420" s="113"/>
      <c r="BI420" s="113"/>
      <c r="BJ420" s="113"/>
      <c r="BK420" s="113"/>
      <c r="BL420" s="113"/>
      <c r="BM420" s="113"/>
      <c r="BN420" s="113"/>
      <c r="BO420" s="113"/>
      <c r="BP420" s="113"/>
      <c r="BQ420" s="113"/>
      <c r="BR420" s="113"/>
      <c r="BS420" s="113"/>
      <c r="BT420" s="113"/>
      <c r="BU420" s="113"/>
      <c r="BV420" s="113"/>
      <c r="BW420" s="113"/>
      <c r="BX420" s="113"/>
      <c r="BY420" s="113"/>
      <c r="BZ420" s="113"/>
      <c r="CA420" s="113"/>
      <c r="CB420" s="113"/>
    </row>
    <row r="421" spans="5:80" x14ac:dyDescent="0.25">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c r="AC421" s="113"/>
      <c r="AD421" s="113"/>
      <c r="AE421" s="113"/>
      <c r="AF421" s="113"/>
      <c r="AG421" s="113"/>
      <c r="AH421" s="113"/>
      <c r="AI421" s="113"/>
      <c r="AJ421" s="113"/>
      <c r="AK421" s="113"/>
      <c r="AL421" s="113"/>
      <c r="AM421" s="113"/>
      <c r="AN421" s="113"/>
      <c r="AO421" s="113"/>
      <c r="AP421" s="113"/>
      <c r="AQ421" s="113"/>
      <c r="AR421" s="113"/>
      <c r="AS421" s="113"/>
      <c r="AT421" s="113"/>
      <c r="AU421" s="113"/>
      <c r="AV421" s="113"/>
      <c r="AW421" s="113"/>
      <c r="AX421" s="113"/>
      <c r="AY421" s="113"/>
      <c r="AZ421" s="113"/>
      <c r="BA421" s="113"/>
      <c r="BB421" s="113"/>
      <c r="BC421" s="113"/>
      <c r="BD421" s="113"/>
      <c r="BE421" s="113"/>
      <c r="BF421" s="113"/>
      <c r="BG421" s="113"/>
      <c r="BH421" s="113"/>
      <c r="BI421" s="113"/>
      <c r="BJ421" s="113"/>
      <c r="BK421" s="113"/>
      <c r="BL421" s="113"/>
      <c r="BM421" s="113"/>
      <c r="BN421" s="113"/>
      <c r="BO421" s="113"/>
      <c r="BP421" s="113"/>
      <c r="BQ421" s="113"/>
      <c r="BR421" s="113"/>
      <c r="BS421" s="113"/>
      <c r="BT421" s="113"/>
      <c r="BU421" s="113"/>
      <c r="BV421" s="113"/>
      <c r="BW421" s="113"/>
      <c r="BX421" s="113"/>
      <c r="BY421" s="113"/>
      <c r="BZ421" s="113"/>
      <c r="CA421" s="113"/>
      <c r="CB421" s="113"/>
    </row>
    <row r="422" spans="5:80" x14ac:dyDescent="0.25">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c r="AC422" s="113"/>
      <c r="AD422" s="113"/>
      <c r="AE422" s="113"/>
      <c r="AF422" s="113"/>
      <c r="AG422" s="113"/>
      <c r="AH422" s="113"/>
      <c r="AI422" s="113"/>
      <c r="AJ422" s="113"/>
      <c r="AK422" s="113"/>
      <c r="AL422" s="113"/>
      <c r="AM422" s="113"/>
      <c r="AN422" s="113"/>
      <c r="AO422" s="113"/>
      <c r="AP422" s="113"/>
      <c r="AQ422" s="113"/>
      <c r="AR422" s="113"/>
      <c r="AS422" s="113"/>
      <c r="AT422" s="113"/>
      <c r="AU422" s="113"/>
      <c r="AV422" s="113"/>
      <c r="AW422" s="113"/>
      <c r="AX422" s="113"/>
      <c r="AY422" s="113"/>
      <c r="AZ422" s="113"/>
      <c r="BA422" s="113"/>
      <c r="BB422" s="113"/>
      <c r="BC422" s="113"/>
      <c r="BD422" s="113"/>
      <c r="BE422" s="113"/>
      <c r="BF422" s="113"/>
      <c r="BG422" s="113"/>
      <c r="BH422" s="113"/>
      <c r="BI422" s="113"/>
      <c r="BJ422" s="113"/>
      <c r="BK422" s="113"/>
      <c r="BL422" s="113"/>
      <c r="BM422" s="113"/>
      <c r="BN422" s="113"/>
      <c r="BO422" s="113"/>
      <c r="BP422" s="113"/>
      <c r="BQ422" s="113"/>
      <c r="BR422" s="113"/>
      <c r="BS422" s="113"/>
      <c r="BT422" s="113"/>
      <c r="BU422" s="113"/>
      <c r="BV422" s="113"/>
      <c r="BW422" s="113"/>
      <c r="BX422" s="113"/>
      <c r="BY422" s="113"/>
      <c r="BZ422" s="113"/>
      <c r="CA422" s="113"/>
      <c r="CB422" s="113"/>
    </row>
    <row r="423" spans="5:80" x14ac:dyDescent="0.25">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c r="AC423" s="113"/>
      <c r="AD423" s="113"/>
      <c r="AE423" s="113"/>
      <c r="AF423" s="113"/>
      <c r="AG423" s="113"/>
      <c r="AH423" s="113"/>
      <c r="AI423" s="113"/>
      <c r="AJ423" s="113"/>
      <c r="AK423" s="113"/>
      <c r="AL423" s="113"/>
      <c r="AM423" s="113"/>
      <c r="AN423" s="113"/>
      <c r="AO423" s="113"/>
      <c r="AP423" s="113"/>
      <c r="AQ423" s="113"/>
      <c r="AR423" s="113"/>
      <c r="AS423" s="113"/>
      <c r="AT423" s="113"/>
      <c r="AU423" s="113"/>
      <c r="AV423" s="113"/>
      <c r="AW423" s="113"/>
      <c r="AX423" s="113"/>
      <c r="AY423" s="113"/>
      <c r="AZ423" s="113"/>
      <c r="BA423" s="113"/>
      <c r="BB423" s="113"/>
      <c r="BC423" s="113"/>
      <c r="BD423" s="113"/>
      <c r="BE423" s="113"/>
      <c r="BF423" s="113"/>
      <c r="BG423" s="113"/>
      <c r="BH423" s="113"/>
      <c r="BI423" s="113"/>
      <c r="BJ423" s="113"/>
      <c r="BK423" s="113"/>
      <c r="BL423" s="113"/>
      <c r="BM423" s="113"/>
      <c r="BN423" s="113"/>
      <c r="BO423" s="113"/>
      <c r="BP423" s="113"/>
      <c r="BQ423" s="113"/>
      <c r="BR423" s="113"/>
      <c r="BS423" s="113"/>
      <c r="BT423" s="113"/>
      <c r="BU423" s="113"/>
      <c r="BV423" s="113"/>
      <c r="BW423" s="113"/>
      <c r="BX423" s="113"/>
      <c r="BY423" s="113"/>
      <c r="BZ423" s="113"/>
      <c r="CA423" s="113"/>
      <c r="CB423" s="113"/>
    </row>
    <row r="424" spans="5:80" x14ac:dyDescent="0.25">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c r="AC424" s="113"/>
      <c r="AD424" s="113"/>
      <c r="AE424" s="113"/>
      <c r="AF424" s="113"/>
      <c r="AG424" s="113"/>
      <c r="AH424" s="113"/>
      <c r="AI424" s="113"/>
      <c r="AJ424" s="113"/>
      <c r="AK424" s="113"/>
      <c r="AL424" s="113"/>
      <c r="AM424" s="113"/>
      <c r="AN424" s="113"/>
      <c r="AO424" s="113"/>
      <c r="AP424" s="113"/>
      <c r="AQ424" s="113"/>
      <c r="AR424" s="113"/>
      <c r="AS424" s="113"/>
      <c r="AT424" s="113"/>
      <c r="AU424" s="113"/>
      <c r="AV424" s="113"/>
      <c r="AW424" s="113"/>
      <c r="AX424" s="113"/>
      <c r="AY424" s="113"/>
      <c r="AZ424" s="113"/>
      <c r="BA424" s="113"/>
      <c r="BB424" s="113"/>
      <c r="BC424" s="113"/>
      <c r="BD424" s="113"/>
      <c r="BE424" s="113"/>
      <c r="BF424" s="113"/>
      <c r="BG424" s="113"/>
      <c r="BH424" s="113"/>
      <c r="BI424" s="113"/>
      <c r="BJ424" s="113"/>
      <c r="BK424" s="113"/>
      <c r="BL424" s="113"/>
      <c r="BM424" s="113"/>
      <c r="BN424" s="113"/>
      <c r="BO424" s="113"/>
      <c r="BP424" s="113"/>
      <c r="BQ424" s="113"/>
      <c r="BR424" s="113"/>
      <c r="BS424" s="113"/>
      <c r="BT424" s="113"/>
      <c r="BU424" s="113"/>
      <c r="BV424" s="113"/>
      <c r="BW424" s="113"/>
      <c r="BX424" s="113"/>
      <c r="BY424" s="113"/>
      <c r="BZ424" s="113"/>
      <c r="CA424" s="113"/>
      <c r="CB424" s="113"/>
    </row>
    <row r="425" spans="5:80" x14ac:dyDescent="0.25">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c r="AC425" s="113"/>
      <c r="AD425" s="113"/>
      <c r="AE425" s="113"/>
      <c r="AF425" s="113"/>
      <c r="AG425" s="113"/>
      <c r="AH425" s="113"/>
      <c r="AI425" s="113"/>
      <c r="AJ425" s="113"/>
      <c r="AK425" s="113"/>
      <c r="AL425" s="113"/>
      <c r="AM425" s="113"/>
      <c r="AN425" s="113"/>
      <c r="AO425" s="113"/>
      <c r="AP425" s="113"/>
      <c r="AQ425" s="113"/>
      <c r="AR425" s="113"/>
      <c r="AS425" s="113"/>
      <c r="AT425" s="113"/>
      <c r="AU425" s="113"/>
      <c r="AV425" s="113"/>
      <c r="AW425" s="113"/>
      <c r="AX425" s="113"/>
      <c r="AY425" s="113"/>
      <c r="AZ425" s="113"/>
      <c r="BA425" s="113"/>
      <c r="BB425" s="113"/>
      <c r="BC425" s="113"/>
      <c r="BD425" s="113"/>
      <c r="BE425" s="113"/>
      <c r="BF425" s="113"/>
      <c r="BG425" s="113"/>
      <c r="BH425" s="113"/>
      <c r="BI425" s="113"/>
      <c r="BJ425" s="113"/>
      <c r="BK425" s="113"/>
      <c r="BL425" s="113"/>
      <c r="BM425" s="113"/>
      <c r="BN425" s="113"/>
      <c r="BO425" s="113"/>
      <c r="BP425" s="113"/>
      <c r="BQ425" s="113"/>
      <c r="BR425" s="113"/>
      <c r="BS425" s="113"/>
      <c r="BT425" s="113"/>
      <c r="BU425" s="113"/>
      <c r="BV425" s="113"/>
      <c r="BW425" s="113"/>
      <c r="BX425" s="113"/>
      <c r="BY425" s="113"/>
      <c r="BZ425" s="113"/>
      <c r="CA425" s="113"/>
      <c r="CB425" s="113"/>
    </row>
    <row r="426" spans="5:80" x14ac:dyDescent="0.25">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c r="AC426" s="113"/>
      <c r="AD426" s="113"/>
      <c r="AE426" s="113"/>
      <c r="AF426" s="113"/>
      <c r="AG426" s="113"/>
      <c r="AH426" s="113"/>
      <c r="AI426" s="113"/>
      <c r="AJ426" s="113"/>
      <c r="AK426" s="113"/>
      <c r="AL426" s="113"/>
      <c r="AM426" s="113"/>
      <c r="AN426" s="113"/>
      <c r="AO426" s="113"/>
      <c r="AP426" s="113"/>
      <c r="AQ426" s="113"/>
      <c r="AR426" s="113"/>
      <c r="AS426" s="113"/>
      <c r="AT426" s="113"/>
      <c r="AU426" s="113"/>
      <c r="AV426" s="113"/>
      <c r="AW426" s="113"/>
      <c r="AX426" s="113"/>
      <c r="AY426" s="113"/>
      <c r="AZ426" s="113"/>
      <c r="BA426" s="113"/>
      <c r="BB426" s="113"/>
      <c r="BC426" s="113"/>
      <c r="BD426" s="113"/>
      <c r="BE426" s="113"/>
      <c r="BF426" s="113"/>
      <c r="BG426" s="113"/>
      <c r="BH426" s="113"/>
      <c r="BI426" s="113"/>
      <c r="BJ426" s="113"/>
      <c r="BK426" s="113"/>
      <c r="BL426" s="113"/>
      <c r="BM426" s="113"/>
      <c r="BN426" s="113"/>
      <c r="BO426" s="113"/>
      <c r="BP426" s="113"/>
      <c r="BQ426" s="113"/>
      <c r="BR426" s="113"/>
      <c r="BS426" s="113"/>
      <c r="BT426" s="113"/>
      <c r="BU426" s="113"/>
      <c r="BV426" s="113"/>
      <c r="BW426" s="113"/>
      <c r="BX426" s="113"/>
      <c r="BY426" s="113"/>
      <c r="BZ426" s="113"/>
      <c r="CA426" s="113"/>
      <c r="CB426" s="113"/>
    </row>
    <row r="427" spans="5:80" x14ac:dyDescent="0.25">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c r="AC427" s="113"/>
      <c r="AD427" s="113"/>
      <c r="AE427" s="113"/>
      <c r="AF427" s="113"/>
      <c r="AG427" s="113"/>
      <c r="AH427" s="113"/>
      <c r="AI427" s="113"/>
      <c r="AJ427" s="113"/>
      <c r="AK427" s="113"/>
      <c r="AL427" s="113"/>
      <c r="AM427" s="113"/>
      <c r="AN427" s="113"/>
      <c r="AO427" s="113"/>
      <c r="AP427" s="113"/>
      <c r="AQ427" s="113"/>
      <c r="AR427" s="113"/>
      <c r="AS427" s="113"/>
      <c r="AT427" s="113"/>
      <c r="AU427" s="113"/>
      <c r="AV427" s="113"/>
      <c r="AW427" s="113"/>
      <c r="AX427" s="113"/>
      <c r="AY427" s="113"/>
      <c r="AZ427" s="113"/>
      <c r="BA427" s="113"/>
      <c r="BB427" s="113"/>
      <c r="BC427" s="113"/>
      <c r="BD427" s="113"/>
      <c r="BE427" s="113"/>
      <c r="BF427" s="113"/>
      <c r="BG427" s="113"/>
      <c r="BH427" s="113"/>
      <c r="BI427" s="113"/>
      <c r="BJ427" s="113"/>
      <c r="BK427" s="113"/>
      <c r="BL427" s="113"/>
      <c r="BM427" s="113"/>
      <c r="BN427" s="113"/>
      <c r="BO427" s="113"/>
      <c r="BP427" s="113"/>
      <c r="BQ427" s="113"/>
      <c r="BR427" s="113"/>
      <c r="BS427" s="113"/>
      <c r="BT427" s="113"/>
      <c r="BU427" s="113"/>
      <c r="BV427" s="113"/>
      <c r="BW427" s="113"/>
      <c r="BX427" s="113"/>
      <c r="BY427" s="113"/>
      <c r="BZ427" s="113"/>
      <c r="CA427" s="113"/>
      <c r="CB427" s="113"/>
    </row>
    <row r="428" spans="5:80" x14ac:dyDescent="0.25">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c r="AC428" s="113"/>
      <c r="AD428" s="113"/>
      <c r="AE428" s="113"/>
      <c r="AF428" s="113"/>
      <c r="AG428" s="113"/>
      <c r="AH428" s="113"/>
      <c r="AI428" s="113"/>
      <c r="AJ428" s="113"/>
      <c r="AK428" s="113"/>
      <c r="AL428" s="113"/>
      <c r="AM428" s="113"/>
      <c r="AN428" s="113"/>
      <c r="AO428" s="113"/>
      <c r="AP428" s="113"/>
      <c r="AQ428" s="113"/>
      <c r="AR428" s="113"/>
      <c r="AS428" s="113"/>
      <c r="AT428" s="113"/>
      <c r="AU428" s="113"/>
      <c r="AV428" s="113"/>
      <c r="AW428" s="113"/>
      <c r="AX428" s="113"/>
      <c r="AY428" s="113"/>
      <c r="AZ428" s="113"/>
      <c r="BA428" s="113"/>
      <c r="BB428" s="113"/>
      <c r="BC428" s="113"/>
      <c r="BD428" s="113"/>
      <c r="BE428" s="113"/>
      <c r="BF428" s="113"/>
      <c r="BG428" s="113"/>
      <c r="BH428" s="113"/>
      <c r="BI428" s="113"/>
      <c r="BJ428" s="113"/>
      <c r="BK428" s="113"/>
      <c r="BL428" s="113"/>
      <c r="BM428" s="113"/>
      <c r="BN428" s="113"/>
      <c r="BO428" s="113"/>
      <c r="BP428" s="113"/>
      <c r="BQ428" s="113"/>
      <c r="BR428" s="113"/>
      <c r="BS428" s="113"/>
      <c r="BT428" s="113"/>
      <c r="BU428" s="113"/>
      <c r="BV428" s="113"/>
      <c r="BW428" s="113"/>
      <c r="BX428" s="113"/>
      <c r="BY428" s="113"/>
      <c r="BZ428" s="113"/>
      <c r="CA428" s="113"/>
      <c r="CB428" s="113"/>
    </row>
    <row r="429" spans="5:80" x14ac:dyDescent="0.25">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c r="AC429" s="113"/>
      <c r="AD429" s="113"/>
      <c r="AE429" s="113"/>
      <c r="AF429" s="113"/>
      <c r="AG429" s="113"/>
      <c r="AH429" s="113"/>
      <c r="AI429" s="113"/>
      <c r="AJ429" s="113"/>
      <c r="AK429" s="113"/>
      <c r="AL429" s="113"/>
      <c r="AM429" s="113"/>
      <c r="AN429" s="113"/>
      <c r="AO429" s="113"/>
      <c r="AP429" s="113"/>
      <c r="AQ429" s="113"/>
      <c r="AR429" s="113"/>
      <c r="AS429" s="113"/>
      <c r="AT429" s="113"/>
      <c r="AU429" s="113"/>
      <c r="AV429" s="113"/>
      <c r="AW429" s="113"/>
      <c r="AX429" s="113"/>
      <c r="AY429" s="113"/>
      <c r="AZ429" s="113"/>
      <c r="BA429" s="113"/>
      <c r="BB429" s="113"/>
      <c r="BC429" s="113"/>
      <c r="BD429" s="113"/>
      <c r="BE429" s="113"/>
      <c r="BF429" s="113"/>
      <c r="BG429" s="113"/>
      <c r="BH429" s="113"/>
      <c r="BI429" s="113"/>
      <c r="BJ429" s="113"/>
      <c r="BK429" s="113"/>
      <c r="BL429" s="113"/>
      <c r="BM429" s="113"/>
      <c r="BN429" s="113"/>
      <c r="BO429" s="113"/>
      <c r="BP429" s="113"/>
      <c r="BQ429" s="113"/>
      <c r="BR429" s="113"/>
      <c r="BS429" s="113"/>
      <c r="BT429" s="113"/>
      <c r="BU429" s="113"/>
      <c r="BV429" s="113"/>
      <c r="BW429" s="113"/>
      <c r="BX429" s="113"/>
      <c r="BY429" s="113"/>
      <c r="BZ429" s="113"/>
      <c r="CA429" s="113"/>
      <c r="CB429" s="113"/>
    </row>
    <row r="430" spans="5:80" x14ac:dyDescent="0.25">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c r="AC430" s="113"/>
      <c r="AD430" s="113"/>
      <c r="AE430" s="113"/>
      <c r="AF430" s="113"/>
      <c r="AG430" s="113"/>
      <c r="AH430" s="113"/>
      <c r="AI430" s="113"/>
      <c r="AJ430" s="113"/>
      <c r="AK430" s="113"/>
      <c r="AL430" s="113"/>
      <c r="AM430" s="113"/>
      <c r="AN430" s="113"/>
      <c r="AO430" s="113"/>
      <c r="AP430" s="113"/>
      <c r="AQ430" s="113"/>
      <c r="AR430" s="113"/>
      <c r="AS430" s="113"/>
      <c r="AT430" s="113"/>
      <c r="AU430" s="113"/>
      <c r="AV430" s="113"/>
      <c r="AW430" s="113"/>
      <c r="AX430" s="113"/>
      <c r="AY430" s="113"/>
      <c r="AZ430" s="113"/>
      <c r="BA430" s="113"/>
      <c r="BB430" s="113"/>
      <c r="BC430" s="113"/>
      <c r="BD430" s="113"/>
      <c r="BE430" s="113"/>
      <c r="BF430" s="113"/>
      <c r="BG430" s="113"/>
      <c r="BH430" s="113"/>
      <c r="BI430" s="113"/>
      <c r="BJ430" s="113"/>
      <c r="BK430" s="113"/>
      <c r="BL430" s="113"/>
      <c r="BM430" s="113"/>
      <c r="BN430" s="113"/>
      <c r="BO430" s="113"/>
      <c r="BP430" s="113"/>
      <c r="BQ430" s="113"/>
      <c r="BR430" s="113"/>
      <c r="BS430" s="113"/>
      <c r="BT430" s="113"/>
      <c r="BU430" s="113"/>
      <c r="BV430" s="113"/>
      <c r="BW430" s="113"/>
      <c r="BX430" s="113"/>
      <c r="BY430" s="113"/>
      <c r="BZ430" s="113"/>
      <c r="CA430" s="113"/>
      <c r="CB430" s="113"/>
    </row>
    <row r="431" spans="5:80" x14ac:dyDescent="0.25">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c r="AC431" s="113"/>
      <c r="AD431" s="113"/>
      <c r="AE431" s="113"/>
      <c r="AF431" s="113"/>
      <c r="AG431" s="113"/>
      <c r="AH431" s="113"/>
      <c r="AI431" s="113"/>
      <c r="AJ431" s="113"/>
      <c r="AK431" s="113"/>
      <c r="AL431" s="113"/>
      <c r="AM431" s="113"/>
      <c r="AN431" s="113"/>
      <c r="AO431" s="113"/>
      <c r="AP431" s="113"/>
      <c r="AQ431" s="113"/>
      <c r="AR431" s="113"/>
      <c r="AS431" s="113"/>
      <c r="AT431" s="113"/>
      <c r="AU431" s="113"/>
      <c r="AV431" s="113"/>
      <c r="AW431" s="113"/>
      <c r="AX431" s="113"/>
      <c r="AY431" s="113"/>
      <c r="AZ431" s="113"/>
      <c r="BA431" s="113"/>
      <c r="BB431" s="113"/>
      <c r="BC431" s="113"/>
      <c r="BD431" s="113"/>
      <c r="BE431" s="113"/>
      <c r="BF431" s="113"/>
      <c r="BG431" s="113"/>
      <c r="BH431" s="113"/>
      <c r="BI431" s="113"/>
      <c r="BJ431" s="113"/>
      <c r="BK431" s="113"/>
      <c r="BL431" s="113"/>
      <c r="BM431" s="113"/>
      <c r="BN431" s="113"/>
      <c r="BO431" s="113"/>
      <c r="BP431" s="113"/>
      <c r="BQ431" s="113"/>
      <c r="BR431" s="113"/>
      <c r="BS431" s="113"/>
      <c r="BT431" s="113"/>
      <c r="BU431" s="113"/>
      <c r="BV431" s="113"/>
      <c r="BW431" s="113"/>
      <c r="BX431" s="113"/>
      <c r="BY431" s="113"/>
      <c r="BZ431" s="113"/>
      <c r="CA431" s="113"/>
      <c r="CB431" s="113"/>
    </row>
    <row r="432" spans="5:80" x14ac:dyDescent="0.25">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c r="AC432" s="113"/>
      <c r="AD432" s="113"/>
      <c r="AE432" s="113"/>
      <c r="AF432" s="113"/>
      <c r="AG432" s="113"/>
      <c r="AH432" s="113"/>
      <c r="AI432" s="113"/>
      <c r="AJ432" s="113"/>
      <c r="AK432" s="113"/>
      <c r="AL432" s="113"/>
      <c r="AM432" s="113"/>
      <c r="AN432" s="113"/>
      <c r="AO432" s="113"/>
      <c r="AP432" s="113"/>
      <c r="AQ432" s="113"/>
      <c r="AR432" s="113"/>
      <c r="AS432" s="113"/>
      <c r="AT432" s="113"/>
      <c r="AU432" s="113"/>
      <c r="AV432" s="113"/>
      <c r="AW432" s="113"/>
      <c r="AX432" s="113"/>
      <c r="AY432" s="113"/>
      <c r="AZ432" s="113"/>
      <c r="BA432" s="113"/>
      <c r="BB432" s="113"/>
      <c r="BC432" s="113"/>
      <c r="BD432" s="113"/>
      <c r="BE432" s="113"/>
      <c r="BF432" s="113"/>
      <c r="BG432" s="113"/>
      <c r="BH432" s="113"/>
      <c r="BI432" s="113"/>
      <c r="BJ432" s="113"/>
      <c r="BK432" s="113"/>
      <c r="BL432" s="113"/>
      <c r="BM432" s="113"/>
      <c r="BN432" s="113"/>
      <c r="BO432" s="113"/>
      <c r="BP432" s="113"/>
      <c r="BQ432" s="113"/>
      <c r="BR432" s="113"/>
      <c r="BS432" s="113"/>
      <c r="BT432" s="113"/>
      <c r="BU432" s="113"/>
      <c r="BV432" s="113"/>
      <c r="BW432" s="113"/>
      <c r="BX432" s="113"/>
      <c r="BY432" s="113"/>
      <c r="BZ432" s="113"/>
      <c r="CA432" s="113"/>
      <c r="CB432" s="113"/>
    </row>
    <row r="433" spans="5:80" x14ac:dyDescent="0.25">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c r="AC433" s="113"/>
      <c r="AD433" s="113"/>
      <c r="AE433" s="113"/>
      <c r="AF433" s="113"/>
      <c r="AG433" s="113"/>
      <c r="AH433" s="113"/>
      <c r="AI433" s="113"/>
      <c r="AJ433" s="113"/>
      <c r="AK433" s="113"/>
      <c r="AL433" s="113"/>
      <c r="AM433" s="113"/>
      <c r="AN433" s="113"/>
      <c r="AO433" s="113"/>
      <c r="AP433" s="113"/>
      <c r="AQ433" s="113"/>
      <c r="AR433" s="113"/>
      <c r="AS433" s="113"/>
      <c r="AT433" s="113"/>
      <c r="AU433" s="113"/>
      <c r="AV433" s="113"/>
      <c r="AW433" s="113"/>
      <c r="AX433" s="113"/>
      <c r="AY433" s="113"/>
      <c r="AZ433" s="113"/>
      <c r="BA433" s="113"/>
      <c r="BB433" s="113"/>
      <c r="BC433" s="113"/>
      <c r="BD433" s="113"/>
      <c r="BE433" s="113"/>
      <c r="BF433" s="113"/>
      <c r="BG433" s="113"/>
      <c r="BH433" s="113"/>
      <c r="BI433" s="113"/>
      <c r="BJ433" s="113"/>
      <c r="BK433" s="113"/>
      <c r="BL433" s="113"/>
      <c r="BM433" s="113"/>
      <c r="BN433" s="113"/>
      <c r="BO433" s="113"/>
      <c r="BP433" s="113"/>
      <c r="BQ433" s="113"/>
      <c r="BR433" s="113"/>
      <c r="BS433" s="113"/>
      <c r="BT433" s="113"/>
      <c r="BU433" s="113"/>
      <c r="BV433" s="113"/>
      <c r="BW433" s="113"/>
      <c r="BX433" s="113"/>
      <c r="BY433" s="113"/>
      <c r="BZ433" s="113"/>
      <c r="CA433" s="113"/>
      <c r="CB433" s="113"/>
    </row>
    <row r="434" spans="5:80" x14ac:dyDescent="0.25">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c r="AC434" s="113"/>
      <c r="AD434" s="113"/>
      <c r="AE434" s="113"/>
      <c r="AF434" s="113"/>
      <c r="AG434" s="113"/>
      <c r="AH434" s="113"/>
      <c r="AI434" s="113"/>
      <c r="AJ434" s="113"/>
      <c r="AK434" s="113"/>
      <c r="AL434" s="113"/>
      <c r="AM434" s="113"/>
      <c r="AN434" s="113"/>
      <c r="AO434" s="113"/>
      <c r="AP434" s="113"/>
      <c r="AQ434" s="113"/>
      <c r="AR434" s="113"/>
      <c r="AS434" s="113"/>
      <c r="AT434" s="113"/>
      <c r="AU434" s="113"/>
      <c r="AV434" s="113"/>
      <c r="AW434" s="113"/>
      <c r="AX434" s="113"/>
      <c r="AY434" s="113"/>
      <c r="AZ434" s="113"/>
      <c r="BA434" s="113"/>
      <c r="BB434" s="113"/>
      <c r="BC434" s="113"/>
      <c r="BD434" s="113"/>
      <c r="BE434" s="113"/>
      <c r="BF434" s="113"/>
      <c r="BG434" s="113"/>
      <c r="BH434" s="113"/>
      <c r="BI434" s="113"/>
      <c r="BJ434" s="113"/>
      <c r="BK434" s="113"/>
      <c r="BL434" s="113"/>
      <c r="BM434" s="113"/>
      <c r="BN434" s="113"/>
      <c r="BO434" s="113"/>
      <c r="BP434" s="113"/>
      <c r="BQ434" s="113"/>
      <c r="BR434" s="113"/>
      <c r="BS434" s="113"/>
      <c r="BT434" s="113"/>
      <c r="BU434" s="113"/>
      <c r="BV434" s="113"/>
      <c r="BW434" s="113"/>
      <c r="BX434" s="113"/>
      <c r="BY434" s="113"/>
      <c r="BZ434" s="113"/>
      <c r="CA434" s="113"/>
      <c r="CB434" s="113"/>
    </row>
    <row r="435" spans="5:80" x14ac:dyDescent="0.25">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c r="AC435" s="113"/>
      <c r="AD435" s="113"/>
      <c r="AE435" s="113"/>
      <c r="AF435" s="113"/>
      <c r="AG435" s="113"/>
      <c r="AH435" s="113"/>
      <c r="AI435" s="113"/>
      <c r="AJ435" s="113"/>
      <c r="AK435" s="113"/>
      <c r="AL435" s="113"/>
      <c r="AM435" s="113"/>
      <c r="AN435" s="113"/>
      <c r="AO435" s="113"/>
      <c r="AP435" s="113"/>
      <c r="AQ435" s="113"/>
      <c r="AR435" s="113"/>
      <c r="AS435" s="113"/>
      <c r="AT435" s="113"/>
      <c r="AU435" s="113"/>
      <c r="AV435" s="113"/>
      <c r="AW435" s="113"/>
      <c r="AX435" s="113"/>
      <c r="AY435" s="113"/>
      <c r="AZ435" s="113"/>
      <c r="BA435" s="113"/>
      <c r="BB435" s="113"/>
      <c r="BC435" s="113"/>
      <c r="BD435" s="113"/>
      <c r="BE435" s="113"/>
      <c r="BF435" s="113"/>
      <c r="BG435" s="113"/>
      <c r="BH435" s="113"/>
      <c r="BI435" s="113"/>
      <c r="BJ435" s="113"/>
      <c r="BK435" s="113"/>
      <c r="BL435" s="113"/>
      <c r="BM435" s="113"/>
      <c r="BN435" s="113"/>
      <c r="BO435" s="113"/>
      <c r="BP435" s="113"/>
      <c r="BQ435" s="113"/>
      <c r="BR435" s="113"/>
      <c r="BS435" s="113"/>
      <c r="BT435" s="113"/>
      <c r="BU435" s="113"/>
      <c r="BV435" s="113"/>
      <c r="BW435" s="113"/>
      <c r="BX435" s="113"/>
      <c r="BY435" s="113"/>
      <c r="BZ435" s="113"/>
      <c r="CA435" s="113"/>
      <c r="CB435" s="113"/>
    </row>
    <row r="436" spans="5:80" x14ac:dyDescent="0.25">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c r="AC436" s="113"/>
      <c r="AD436" s="113"/>
      <c r="AE436" s="113"/>
      <c r="AF436" s="113"/>
      <c r="AG436" s="113"/>
      <c r="AH436" s="113"/>
      <c r="AI436" s="113"/>
      <c r="AJ436" s="113"/>
      <c r="AK436" s="113"/>
      <c r="AL436" s="113"/>
      <c r="AM436" s="113"/>
      <c r="AN436" s="113"/>
      <c r="AO436" s="113"/>
      <c r="AP436" s="113"/>
      <c r="AQ436" s="113"/>
      <c r="AR436" s="113"/>
      <c r="AS436" s="113"/>
      <c r="AT436" s="113"/>
      <c r="AU436" s="113"/>
      <c r="AV436" s="113"/>
      <c r="AW436" s="113"/>
      <c r="AX436" s="113"/>
      <c r="AY436" s="113"/>
      <c r="AZ436" s="113"/>
      <c r="BA436" s="113"/>
      <c r="BB436" s="113"/>
      <c r="BC436" s="113"/>
      <c r="BD436" s="113"/>
      <c r="BE436" s="113"/>
      <c r="BF436" s="113"/>
      <c r="BG436" s="113"/>
      <c r="BH436" s="113"/>
      <c r="BI436" s="113"/>
      <c r="BJ436" s="113"/>
      <c r="BK436" s="113"/>
      <c r="BL436" s="113"/>
      <c r="BM436" s="113"/>
      <c r="BN436" s="113"/>
      <c r="BO436" s="113"/>
      <c r="BP436" s="113"/>
      <c r="BQ436" s="113"/>
      <c r="BR436" s="113"/>
      <c r="BS436" s="113"/>
      <c r="BT436" s="113"/>
      <c r="BU436" s="113"/>
      <c r="BV436" s="113"/>
      <c r="BW436" s="113"/>
      <c r="BX436" s="113"/>
      <c r="BY436" s="113"/>
      <c r="BZ436" s="113"/>
      <c r="CA436" s="113"/>
      <c r="CB436" s="113"/>
    </row>
    <row r="437" spans="5:80" x14ac:dyDescent="0.25">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c r="AC437" s="113"/>
      <c r="AD437" s="113"/>
      <c r="AE437" s="113"/>
      <c r="AF437" s="113"/>
      <c r="AG437" s="113"/>
      <c r="AH437" s="113"/>
      <c r="AI437" s="113"/>
      <c r="AJ437" s="113"/>
      <c r="AK437" s="113"/>
      <c r="AL437" s="113"/>
      <c r="AM437" s="113"/>
      <c r="AN437" s="113"/>
      <c r="AO437" s="113"/>
      <c r="AP437" s="113"/>
      <c r="AQ437" s="113"/>
      <c r="AR437" s="113"/>
      <c r="AS437" s="113"/>
      <c r="AT437" s="113"/>
      <c r="AU437" s="113"/>
      <c r="AV437" s="113"/>
      <c r="AW437" s="113"/>
      <c r="AX437" s="113"/>
      <c r="AY437" s="113"/>
      <c r="AZ437" s="113"/>
      <c r="BA437" s="113"/>
      <c r="BB437" s="113"/>
      <c r="BC437" s="113"/>
      <c r="BD437" s="113"/>
      <c r="BE437" s="113"/>
      <c r="BF437" s="113"/>
      <c r="BG437" s="113"/>
      <c r="BH437" s="113"/>
      <c r="BI437" s="113"/>
      <c r="BJ437" s="113"/>
      <c r="BK437" s="113"/>
      <c r="BL437" s="113"/>
      <c r="BM437" s="113"/>
      <c r="BN437" s="113"/>
      <c r="BO437" s="113"/>
      <c r="BP437" s="113"/>
      <c r="BQ437" s="113"/>
      <c r="BR437" s="113"/>
      <c r="BS437" s="113"/>
      <c r="BT437" s="113"/>
      <c r="BU437" s="113"/>
      <c r="BV437" s="113"/>
      <c r="BW437" s="113"/>
      <c r="BX437" s="113"/>
      <c r="BY437" s="113"/>
      <c r="BZ437" s="113"/>
      <c r="CA437" s="113"/>
      <c r="CB437" s="113"/>
    </row>
    <row r="438" spans="5:80" x14ac:dyDescent="0.25">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c r="AC438" s="113"/>
      <c r="AD438" s="113"/>
      <c r="AE438" s="113"/>
      <c r="AF438" s="113"/>
      <c r="AG438" s="113"/>
      <c r="AH438" s="113"/>
      <c r="AI438" s="113"/>
      <c r="AJ438" s="113"/>
      <c r="AK438" s="113"/>
      <c r="AL438" s="113"/>
      <c r="AM438" s="113"/>
      <c r="AN438" s="113"/>
      <c r="AO438" s="113"/>
      <c r="AP438" s="113"/>
      <c r="AQ438" s="113"/>
      <c r="AR438" s="113"/>
      <c r="AS438" s="113"/>
      <c r="AT438" s="113"/>
      <c r="AU438" s="113"/>
      <c r="AV438" s="113"/>
      <c r="AW438" s="113"/>
      <c r="AX438" s="113"/>
      <c r="AY438" s="113"/>
      <c r="AZ438" s="113"/>
      <c r="BA438" s="113"/>
      <c r="BB438" s="113"/>
      <c r="BC438" s="113"/>
      <c r="BD438" s="113"/>
      <c r="BE438" s="113"/>
      <c r="BF438" s="113"/>
      <c r="BG438" s="113"/>
      <c r="BH438" s="113"/>
      <c r="BI438" s="113"/>
      <c r="BJ438" s="113"/>
      <c r="BK438" s="113"/>
      <c r="BL438" s="113"/>
      <c r="BM438" s="113"/>
      <c r="BN438" s="113"/>
      <c r="BO438" s="113"/>
      <c r="BP438" s="113"/>
      <c r="BQ438" s="113"/>
      <c r="BR438" s="113"/>
      <c r="BS438" s="113"/>
      <c r="BT438" s="113"/>
      <c r="BU438" s="113"/>
      <c r="BV438" s="113"/>
      <c r="BW438" s="113"/>
      <c r="BX438" s="113"/>
      <c r="BY438" s="113"/>
      <c r="BZ438" s="113"/>
      <c r="CA438" s="113"/>
      <c r="CB438" s="113"/>
    </row>
    <row r="439" spans="5:80" x14ac:dyDescent="0.25">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c r="AC439" s="113"/>
      <c r="AD439" s="113"/>
      <c r="AE439" s="113"/>
      <c r="AF439" s="113"/>
      <c r="AG439" s="113"/>
      <c r="AH439" s="113"/>
      <c r="AI439" s="113"/>
      <c r="AJ439" s="113"/>
      <c r="AK439" s="113"/>
      <c r="AL439" s="113"/>
      <c r="AM439" s="113"/>
      <c r="AN439" s="113"/>
      <c r="AO439" s="113"/>
      <c r="AP439" s="113"/>
      <c r="AQ439" s="113"/>
      <c r="AR439" s="113"/>
      <c r="AS439" s="113"/>
      <c r="AT439" s="113"/>
      <c r="AU439" s="113"/>
      <c r="AV439" s="113"/>
      <c r="AW439" s="113"/>
      <c r="AX439" s="113"/>
      <c r="AY439" s="113"/>
      <c r="AZ439" s="113"/>
      <c r="BA439" s="113"/>
      <c r="BB439" s="113"/>
      <c r="BC439" s="113"/>
      <c r="BD439" s="113"/>
      <c r="BE439" s="113"/>
      <c r="BF439" s="113"/>
      <c r="BG439" s="113"/>
      <c r="BH439" s="113"/>
      <c r="BI439" s="113"/>
      <c r="BJ439" s="113"/>
      <c r="BK439" s="113"/>
      <c r="BL439" s="113"/>
      <c r="BM439" s="113"/>
      <c r="BN439" s="113"/>
      <c r="BO439" s="113"/>
      <c r="BP439" s="113"/>
      <c r="BQ439" s="113"/>
      <c r="BR439" s="113"/>
      <c r="BS439" s="113"/>
      <c r="BT439" s="113"/>
      <c r="BU439" s="113"/>
      <c r="BV439" s="113"/>
      <c r="BW439" s="113"/>
      <c r="BX439" s="113"/>
      <c r="BY439" s="113"/>
      <c r="BZ439" s="113"/>
      <c r="CA439" s="113"/>
      <c r="CB439" s="113"/>
    </row>
    <row r="440" spans="5:80" x14ac:dyDescent="0.25">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c r="AC440" s="113"/>
      <c r="AD440" s="113"/>
      <c r="AE440" s="113"/>
      <c r="AF440" s="113"/>
      <c r="AG440" s="113"/>
      <c r="AH440" s="113"/>
      <c r="AI440" s="113"/>
      <c r="AJ440" s="113"/>
      <c r="AK440" s="113"/>
      <c r="AL440" s="113"/>
      <c r="AM440" s="113"/>
      <c r="AN440" s="113"/>
      <c r="AO440" s="113"/>
      <c r="AP440" s="113"/>
      <c r="AQ440" s="113"/>
      <c r="AR440" s="113"/>
      <c r="AS440" s="113"/>
      <c r="AT440" s="113"/>
      <c r="AU440" s="113"/>
      <c r="AV440" s="113"/>
      <c r="AW440" s="113"/>
      <c r="AX440" s="113"/>
      <c r="AY440" s="113"/>
      <c r="AZ440" s="113"/>
      <c r="BA440" s="113"/>
      <c r="BB440" s="113"/>
      <c r="BC440" s="113"/>
      <c r="BD440" s="113"/>
      <c r="BE440" s="113"/>
      <c r="BF440" s="113"/>
      <c r="BG440" s="113"/>
      <c r="BH440" s="113"/>
      <c r="BI440" s="113"/>
      <c r="BJ440" s="113"/>
      <c r="BK440" s="113"/>
      <c r="BL440" s="113"/>
      <c r="BM440" s="113"/>
      <c r="BN440" s="113"/>
      <c r="BO440" s="113"/>
      <c r="BP440" s="113"/>
      <c r="BQ440" s="113"/>
      <c r="BR440" s="113"/>
      <c r="BS440" s="113"/>
      <c r="BT440" s="113"/>
      <c r="BU440" s="113"/>
      <c r="BV440" s="113"/>
      <c r="BW440" s="113"/>
      <c r="BX440" s="113"/>
      <c r="BY440" s="113"/>
      <c r="BZ440" s="113"/>
      <c r="CA440" s="113"/>
      <c r="CB440" s="113"/>
    </row>
    <row r="441" spans="5:80" x14ac:dyDescent="0.25">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c r="AC441" s="113"/>
      <c r="AD441" s="113"/>
      <c r="AE441" s="113"/>
      <c r="AF441" s="113"/>
      <c r="AG441" s="113"/>
      <c r="AH441" s="113"/>
      <c r="AI441" s="113"/>
      <c r="AJ441" s="113"/>
      <c r="AK441" s="113"/>
      <c r="AL441" s="113"/>
      <c r="AM441" s="113"/>
      <c r="AN441" s="113"/>
      <c r="AO441" s="113"/>
      <c r="AP441" s="113"/>
      <c r="AQ441" s="113"/>
      <c r="AR441" s="113"/>
      <c r="AS441" s="113"/>
      <c r="AT441" s="113"/>
      <c r="AU441" s="113"/>
      <c r="AV441" s="113"/>
      <c r="AW441" s="113"/>
      <c r="AX441" s="113"/>
      <c r="AY441" s="113"/>
      <c r="AZ441" s="113"/>
      <c r="BA441" s="113"/>
      <c r="BB441" s="113"/>
      <c r="BC441" s="113"/>
      <c r="BD441" s="113"/>
      <c r="BE441" s="113"/>
      <c r="BF441" s="113"/>
      <c r="BG441" s="113"/>
      <c r="BH441" s="113"/>
      <c r="BI441" s="113"/>
      <c r="BJ441" s="113"/>
      <c r="BK441" s="113"/>
      <c r="BL441" s="113"/>
      <c r="BM441" s="113"/>
      <c r="BN441" s="113"/>
      <c r="BO441" s="113"/>
      <c r="BP441" s="113"/>
      <c r="BQ441" s="113"/>
      <c r="BR441" s="113"/>
      <c r="BS441" s="113"/>
      <c r="BT441" s="113"/>
      <c r="BU441" s="113"/>
      <c r="BV441" s="113"/>
      <c r="BW441" s="113"/>
      <c r="BX441" s="113"/>
      <c r="BY441" s="113"/>
      <c r="BZ441" s="113"/>
      <c r="CA441" s="113"/>
      <c r="CB441" s="113"/>
    </row>
    <row r="442" spans="5:80" x14ac:dyDescent="0.25">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c r="AC442" s="113"/>
      <c r="AD442" s="113"/>
      <c r="AE442" s="113"/>
      <c r="AF442" s="113"/>
      <c r="AG442" s="113"/>
      <c r="AH442" s="113"/>
      <c r="AI442" s="113"/>
      <c r="AJ442" s="113"/>
      <c r="AK442" s="113"/>
      <c r="AL442" s="113"/>
      <c r="AM442" s="113"/>
      <c r="AN442" s="113"/>
      <c r="AO442" s="113"/>
      <c r="AP442" s="113"/>
      <c r="AQ442" s="113"/>
      <c r="AR442" s="113"/>
      <c r="AS442" s="113"/>
      <c r="AT442" s="113"/>
      <c r="AU442" s="113"/>
      <c r="AV442" s="113"/>
      <c r="AW442" s="113"/>
      <c r="AX442" s="113"/>
      <c r="AY442" s="113"/>
      <c r="AZ442" s="113"/>
      <c r="BA442" s="113"/>
      <c r="BB442" s="113"/>
      <c r="BC442" s="113"/>
      <c r="BD442" s="113"/>
      <c r="BE442" s="113"/>
      <c r="BF442" s="113"/>
      <c r="BG442" s="113"/>
      <c r="BH442" s="113"/>
      <c r="BI442" s="113"/>
      <c r="BJ442" s="113"/>
      <c r="BK442" s="113"/>
      <c r="BL442" s="113"/>
      <c r="BM442" s="113"/>
      <c r="BN442" s="113"/>
      <c r="BO442" s="113"/>
      <c r="BP442" s="113"/>
      <c r="BQ442" s="113"/>
      <c r="BR442" s="113"/>
      <c r="BS442" s="113"/>
      <c r="BT442" s="113"/>
      <c r="BU442" s="113"/>
      <c r="BV442" s="113"/>
      <c r="BW442" s="113"/>
      <c r="BX442" s="113"/>
      <c r="BY442" s="113"/>
      <c r="BZ442" s="113"/>
      <c r="CA442" s="113"/>
      <c r="CB442" s="113"/>
    </row>
    <row r="443" spans="5:80" x14ac:dyDescent="0.25">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c r="AC443" s="113"/>
      <c r="AD443" s="113"/>
      <c r="AE443" s="113"/>
      <c r="AF443" s="113"/>
      <c r="AG443" s="113"/>
      <c r="AH443" s="113"/>
      <c r="AI443" s="113"/>
      <c r="AJ443" s="113"/>
      <c r="AK443" s="113"/>
      <c r="AL443" s="113"/>
      <c r="AM443" s="113"/>
      <c r="AN443" s="113"/>
      <c r="AO443" s="113"/>
      <c r="AP443" s="113"/>
      <c r="AQ443" s="113"/>
      <c r="AR443" s="113"/>
      <c r="AS443" s="113"/>
      <c r="AT443" s="113"/>
      <c r="AU443" s="113"/>
      <c r="AV443" s="113"/>
      <c r="AW443" s="113"/>
      <c r="AX443" s="113"/>
      <c r="AY443" s="113"/>
      <c r="AZ443" s="113"/>
      <c r="BA443" s="113"/>
      <c r="BB443" s="113"/>
      <c r="BC443" s="113"/>
      <c r="BD443" s="113"/>
      <c r="BE443" s="113"/>
      <c r="BF443" s="113"/>
      <c r="BG443" s="113"/>
      <c r="BH443" s="113"/>
      <c r="BI443" s="113"/>
      <c r="BJ443" s="113"/>
      <c r="BK443" s="113"/>
      <c r="BL443" s="113"/>
      <c r="BM443" s="113"/>
      <c r="BN443" s="113"/>
      <c r="BO443" s="113"/>
      <c r="BP443" s="113"/>
      <c r="BQ443" s="113"/>
      <c r="BR443" s="113"/>
      <c r="BS443" s="113"/>
      <c r="BT443" s="113"/>
      <c r="BU443" s="113"/>
      <c r="BV443" s="113"/>
      <c r="BW443" s="113"/>
      <c r="BX443" s="113"/>
      <c r="BY443" s="113"/>
      <c r="BZ443" s="113"/>
      <c r="CA443" s="113"/>
      <c r="CB443" s="113"/>
    </row>
    <row r="444" spans="5:80" x14ac:dyDescent="0.25">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c r="AC444" s="113"/>
      <c r="AD444" s="113"/>
      <c r="AE444" s="113"/>
      <c r="AF444" s="113"/>
      <c r="AG444" s="113"/>
      <c r="AH444" s="113"/>
      <c r="AI444" s="113"/>
      <c r="AJ444" s="113"/>
      <c r="AK444" s="113"/>
      <c r="AL444" s="113"/>
      <c r="AM444" s="113"/>
      <c r="AN444" s="113"/>
      <c r="AO444" s="113"/>
      <c r="AP444" s="113"/>
      <c r="AQ444" s="113"/>
      <c r="AR444" s="113"/>
      <c r="AS444" s="113"/>
      <c r="AT444" s="113"/>
      <c r="AU444" s="113"/>
      <c r="AV444" s="113"/>
      <c r="AW444" s="113"/>
      <c r="AX444" s="113"/>
      <c r="AY444" s="113"/>
      <c r="AZ444" s="113"/>
      <c r="BA444" s="113"/>
      <c r="BB444" s="113"/>
      <c r="BC444" s="113"/>
      <c r="BD444" s="113"/>
      <c r="BE444" s="113"/>
      <c r="BF444" s="113"/>
      <c r="BG444" s="113"/>
      <c r="BH444" s="113"/>
      <c r="BI444" s="113"/>
      <c r="BJ444" s="113"/>
      <c r="BK444" s="113"/>
      <c r="BL444" s="113"/>
      <c r="BM444" s="113"/>
      <c r="BN444" s="113"/>
      <c r="BO444" s="113"/>
      <c r="BP444" s="113"/>
      <c r="BQ444" s="113"/>
      <c r="BR444" s="113"/>
      <c r="BS444" s="113"/>
      <c r="BT444" s="113"/>
      <c r="BU444" s="113"/>
      <c r="BV444" s="113"/>
      <c r="BW444" s="113"/>
      <c r="BX444" s="113"/>
      <c r="BY444" s="113"/>
      <c r="BZ444" s="113"/>
      <c r="CA444" s="113"/>
      <c r="CB444" s="113"/>
    </row>
    <row r="445" spans="5:80" x14ac:dyDescent="0.25">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c r="AC445" s="113"/>
      <c r="AD445" s="113"/>
      <c r="AE445" s="113"/>
      <c r="AF445" s="113"/>
      <c r="AG445" s="113"/>
      <c r="AH445" s="113"/>
      <c r="AI445" s="113"/>
      <c r="AJ445" s="113"/>
      <c r="AK445" s="113"/>
      <c r="AL445" s="113"/>
      <c r="AM445" s="113"/>
      <c r="AN445" s="113"/>
      <c r="AO445" s="113"/>
      <c r="AP445" s="113"/>
      <c r="AQ445" s="113"/>
      <c r="AR445" s="113"/>
      <c r="AS445" s="113"/>
      <c r="AT445" s="113"/>
      <c r="AU445" s="113"/>
      <c r="AV445" s="113"/>
      <c r="AW445" s="113"/>
      <c r="AX445" s="113"/>
      <c r="AY445" s="113"/>
      <c r="AZ445" s="113"/>
      <c r="BA445" s="113"/>
      <c r="BB445" s="113"/>
      <c r="BC445" s="113"/>
      <c r="BD445" s="113"/>
      <c r="BE445" s="113"/>
      <c r="BF445" s="113"/>
      <c r="BG445" s="113"/>
      <c r="BH445" s="113"/>
      <c r="BI445" s="113"/>
      <c r="BJ445" s="113"/>
      <c r="BK445" s="113"/>
      <c r="BL445" s="113"/>
      <c r="BM445" s="113"/>
      <c r="BN445" s="113"/>
      <c r="BO445" s="113"/>
      <c r="BP445" s="113"/>
      <c r="BQ445" s="113"/>
      <c r="BR445" s="113"/>
      <c r="BS445" s="113"/>
      <c r="BT445" s="113"/>
      <c r="BU445" s="113"/>
      <c r="BV445" s="113"/>
      <c r="BW445" s="113"/>
      <c r="BX445" s="113"/>
      <c r="BY445" s="113"/>
      <c r="BZ445" s="113"/>
      <c r="CA445" s="113"/>
      <c r="CB445" s="113"/>
    </row>
    <row r="446" spans="5:80" x14ac:dyDescent="0.25">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c r="AC446" s="113"/>
      <c r="AD446" s="113"/>
      <c r="AE446" s="113"/>
      <c r="AF446" s="113"/>
      <c r="AG446" s="113"/>
      <c r="AH446" s="113"/>
      <c r="AI446" s="113"/>
      <c r="AJ446" s="113"/>
      <c r="AK446" s="113"/>
      <c r="AL446" s="113"/>
      <c r="AM446" s="113"/>
      <c r="AN446" s="113"/>
      <c r="AO446" s="113"/>
      <c r="AP446" s="113"/>
      <c r="AQ446" s="113"/>
      <c r="AR446" s="113"/>
      <c r="AS446" s="113"/>
      <c r="AT446" s="113"/>
      <c r="AU446" s="113"/>
      <c r="AV446" s="113"/>
      <c r="AW446" s="113"/>
      <c r="AX446" s="113"/>
      <c r="AY446" s="113"/>
      <c r="AZ446" s="113"/>
      <c r="BA446" s="113"/>
      <c r="BB446" s="113"/>
      <c r="BC446" s="113"/>
      <c r="BD446" s="113"/>
      <c r="BE446" s="113"/>
      <c r="BF446" s="113"/>
      <c r="BG446" s="113"/>
      <c r="BH446" s="113"/>
      <c r="BI446" s="113"/>
      <c r="BJ446" s="113"/>
      <c r="BK446" s="113"/>
      <c r="BL446" s="113"/>
      <c r="BM446" s="113"/>
      <c r="BN446" s="113"/>
      <c r="BO446" s="113"/>
      <c r="BP446" s="113"/>
      <c r="BQ446" s="113"/>
      <c r="BR446" s="113"/>
      <c r="BS446" s="113"/>
      <c r="BT446" s="113"/>
      <c r="BU446" s="113"/>
      <c r="BV446" s="113"/>
      <c r="BW446" s="113"/>
      <c r="BX446" s="113"/>
      <c r="BY446" s="113"/>
      <c r="BZ446" s="113"/>
      <c r="CA446" s="113"/>
      <c r="CB446" s="113"/>
    </row>
    <row r="447" spans="5:80" x14ac:dyDescent="0.25">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c r="AC447" s="113"/>
      <c r="AD447" s="113"/>
      <c r="AE447" s="113"/>
      <c r="AF447" s="113"/>
      <c r="AG447" s="113"/>
      <c r="AH447" s="113"/>
      <c r="AI447" s="113"/>
      <c r="AJ447" s="113"/>
      <c r="AK447" s="113"/>
      <c r="AL447" s="113"/>
      <c r="AM447" s="113"/>
      <c r="AN447" s="113"/>
      <c r="AO447" s="113"/>
      <c r="AP447" s="113"/>
      <c r="AQ447" s="113"/>
      <c r="AR447" s="113"/>
      <c r="AS447" s="113"/>
      <c r="AT447" s="113"/>
      <c r="AU447" s="113"/>
      <c r="AV447" s="113"/>
      <c r="AW447" s="113"/>
      <c r="AX447" s="113"/>
      <c r="AY447" s="113"/>
      <c r="AZ447" s="113"/>
      <c r="BA447" s="113"/>
      <c r="BB447" s="113"/>
      <c r="BC447" s="113"/>
      <c r="BD447" s="113"/>
      <c r="BE447" s="113"/>
      <c r="BF447" s="113"/>
      <c r="BG447" s="113"/>
      <c r="BH447" s="113"/>
      <c r="BI447" s="113"/>
      <c r="BJ447" s="113"/>
      <c r="BK447" s="113"/>
      <c r="BL447" s="113"/>
      <c r="BM447" s="113"/>
      <c r="BN447" s="113"/>
      <c r="BO447" s="113"/>
      <c r="BP447" s="113"/>
      <c r="BQ447" s="113"/>
      <c r="BR447" s="113"/>
      <c r="BS447" s="113"/>
      <c r="BT447" s="113"/>
      <c r="BU447" s="113"/>
      <c r="BV447" s="113"/>
      <c r="BW447" s="113"/>
      <c r="BX447" s="113"/>
      <c r="BY447" s="113"/>
      <c r="BZ447" s="113"/>
      <c r="CA447" s="113"/>
      <c r="CB447" s="113"/>
    </row>
    <row r="448" spans="5:80" x14ac:dyDescent="0.25">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c r="AC448" s="113"/>
      <c r="AD448" s="113"/>
      <c r="AE448" s="113"/>
      <c r="AF448" s="113"/>
      <c r="AG448" s="113"/>
      <c r="AH448" s="113"/>
      <c r="AI448" s="113"/>
      <c r="AJ448" s="113"/>
      <c r="AK448" s="113"/>
      <c r="AL448" s="113"/>
      <c r="AM448" s="113"/>
      <c r="AN448" s="113"/>
      <c r="AO448" s="113"/>
      <c r="AP448" s="113"/>
      <c r="AQ448" s="113"/>
      <c r="AR448" s="113"/>
      <c r="AS448" s="113"/>
      <c r="AT448" s="113"/>
      <c r="AU448" s="113"/>
      <c r="AV448" s="113"/>
      <c r="AW448" s="113"/>
      <c r="AX448" s="113"/>
      <c r="AY448" s="113"/>
      <c r="AZ448" s="113"/>
      <c r="BA448" s="113"/>
      <c r="BB448" s="113"/>
      <c r="BC448" s="113"/>
      <c r="BD448" s="113"/>
      <c r="BE448" s="113"/>
      <c r="BF448" s="113"/>
      <c r="BG448" s="113"/>
      <c r="BH448" s="113"/>
      <c r="BI448" s="113"/>
      <c r="BJ448" s="113"/>
      <c r="BK448" s="113"/>
      <c r="BL448" s="113"/>
      <c r="BM448" s="113"/>
      <c r="BN448" s="113"/>
      <c r="BO448" s="113"/>
      <c r="BP448" s="113"/>
      <c r="BQ448" s="113"/>
      <c r="BR448" s="113"/>
      <c r="BS448" s="113"/>
      <c r="BT448" s="113"/>
      <c r="BU448" s="113"/>
      <c r="BV448" s="113"/>
      <c r="BW448" s="113"/>
      <c r="BX448" s="113"/>
      <c r="BY448" s="113"/>
      <c r="BZ448" s="113"/>
      <c r="CA448" s="113"/>
      <c r="CB448" s="113"/>
    </row>
    <row r="449" spans="5:80" x14ac:dyDescent="0.25">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c r="AC449" s="113"/>
      <c r="AD449" s="113"/>
      <c r="AE449" s="113"/>
      <c r="AF449" s="113"/>
      <c r="AG449" s="113"/>
      <c r="AH449" s="113"/>
      <c r="AI449" s="113"/>
      <c r="AJ449" s="113"/>
      <c r="AK449" s="113"/>
      <c r="AL449" s="113"/>
      <c r="AM449" s="113"/>
      <c r="AN449" s="113"/>
      <c r="AO449" s="113"/>
      <c r="AP449" s="113"/>
      <c r="AQ449" s="113"/>
      <c r="AR449" s="113"/>
      <c r="AS449" s="113"/>
      <c r="AT449" s="113"/>
      <c r="AU449" s="113"/>
      <c r="AV449" s="113"/>
      <c r="AW449" s="113"/>
      <c r="AX449" s="113"/>
      <c r="AY449" s="113"/>
      <c r="AZ449" s="113"/>
      <c r="BA449" s="113"/>
      <c r="BB449" s="113"/>
      <c r="BC449" s="113"/>
      <c r="BD449" s="113"/>
      <c r="BE449" s="113"/>
      <c r="BF449" s="113"/>
      <c r="BG449" s="113"/>
      <c r="BH449" s="113"/>
      <c r="BI449" s="113"/>
      <c r="BJ449" s="113"/>
      <c r="BK449" s="113"/>
      <c r="BL449" s="113"/>
      <c r="BM449" s="113"/>
      <c r="BN449" s="113"/>
      <c r="BO449" s="113"/>
      <c r="BP449" s="113"/>
      <c r="BQ449" s="113"/>
      <c r="BR449" s="113"/>
      <c r="BS449" s="113"/>
      <c r="BT449" s="113"/>
      <c r="BU449" s="113"/>
      <c r="BV449" s="113"/>
      <c r="BW449" s="113"/>
      <c r="BX449" s="113"/>
      <c r="BY449" s="113"/>
      <c r="BZ449" s="113"/>
      <c r="CA449" s="113"/>
      <c r="CB449" s="113"/>
    </row>
    <row r="450" spans="5:80" x14ac:dyDescent="0.25">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c r="AC450" s="113"/>
      <c r="AD450" s="113"/>
      <c r="AE450" s="113"/>
      <c r="AF450" s="113"/>
      <c r="AG450" s="113"/>
      <c r="AH450" s="113"/>
      <c r="AI450" s="113"/>
      <c r="AJ450" s="113"/>
      <c r="AK450" s="113"/>
      <c r="AL450" s="113"/>
      <c r="AM450" s="113"/>
      <c r="AN450" s="113"/>
      <c r="AO450" s="113"/>
      <c r="AP450" s="113"/>
      <c r="AQ450" s="113"/>
      <c r="AR450" s="113"/>
      <c r="AS450" s="113"/>
      <c r="AT450" s="113"/>
      <c r="AU450" s="113"/>
      <c r="AV450" s="113"/>
      <c r="AW450" s="113"/>
      <c r="AX450" s="113"/>
      <c r="AY450" s="113"/>
      <c r="AZ450" s="113"/>
      <c r="BA450" s="113"/>
      <c r="BB450" s="113"/>
      <c r="BC450" s="113"/>
      <c r="BD450" s="113"/>
      <c r="BE450" s="113"/>
      <c r="BF450" s="113"/>
      <c r="BG450" s="113"/>
      <c r="BH450" s="113"/>
      <c r="BI450" s="113"/>
      <c r="BJ450" s="113"/>
      <c r="BK450" s="113"/>
      <c r="BL450" s="113"/>
      <c r="BM450" s="113"/>
      <c r="BN450" s="113"/>
      <c r="BO450" s="113"/>
      <c r="BP450" s="113"/>
      <c r="BQ450" s="113"/>
      <c r="BR450" s="113"/>
      <c r="BS450" s="113"/>
      <c r="BT450" s="113"/>
      <c r="BU450" s="113"/>
      <c r="BV450" s="113"/>
      <c r="BW450" s="113"/>
      <c r="BX450" s="113"/>
      <c r="BY450" s="113"/>
      <c r="BZ450" s="113"/>
      <c r="CA450" s="113"/>
      <c r="CB450" s="113"/>
    </row>
    <row r="451" spans="5:80" x14ac:dyDescent="0.25">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c r="AC451" s="113"/>
      <c r="AD451" s="113"/>
      <c r="AE451" s="113"/>
      <c r="AF451" s="113"/>
      <c r="AG451" s="113"/>
      <c r="AH451" s="113"/>
      <c r="AI451" s="113"/>
      <c r="AJ451" s="113"/>
      <c r="AK451" s="113"/>
      <c r="AL451" s="113"/>
      <c r="AM451" s="113"/>
      <c r="AN451" s="113"/>
      <c r="AO451" s="113"/>
      <c r="AP451" s="113"/>
      <c r="AQ451" s="113"/>
      <c r="AR451" s="113"/>
      <c r="AS451" s="113"/>
      <c r="AT451" s="113"/>
      <c r="AU451" s="113"/>
      <c r="AV451" s="113"/>
      <c r="AW451" s="113"/>
      <c r="AX451" s="113"/>
      <c r="AY451" s="113"/>
      <c r="AZ451" s="113"/>
      <c r="BA451" s="113"/>
      <c r="BB451" s="113"/>
      <c r="BC451" s="113"/>
      <c r="BD451" s="113"/>
      <c r="BE451" s="113"/>
      <c r="BF451" s="113"/>
      <c r="BG451" s="113"/>
      <c r="BH451" s="113"/>
      <c r="BI451" s="113"/>
      <c r="BJ451" s="113"/>
      <c r="BK451" s="113"/>
      <c r="BL451" s="113"/>
      <c r="BM451" s="113"/>
      <c r="BN451" s="113"/>
      <c r="BO451" s="113"/>
      <c r="BP451" s="113"/>
      <c r="BQ451" s="113"/>
      <c r="BR451" s="113"/>
      <c r="BS451" s="113"/>
      <c r="BT451" s="113"/>
      <c r="BU451" s="113"/>
      <c r="BV451" s="113"/>
      <c r="BW451" s="113"/>
      <c r="BX451" s="113"/>
      <c r="BY451" s="113"/>
      <c r="BZ451" s="113"/>
      <c r="CA451" s="113"/>
      <c r="CB451" s="113"/>
    </row>
    <row r="452" spans="5:80" x14ac:dyDescent="0.25">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c r="AC452" s="113"/>
      <c r="AD452" s="113"/>
      <c r="AE452" s="113"/>
      <c r="AF452" s="113"/>
      <c r="AG452" s="113"/>
      <c r="AH452" s="113"/>
      <c r="AI452" s="113"/>
      <c r="AJ452" s="113"/>
      <c r="AK452" s="113"/>
      <c r="AL452" s="113"/>
      <c r="AM452" s="113"/>
      <c r="AN452" s="113"/>
      <c r="AO452" s="113"/>
      <c r="AP452" s="113"/>
      <c r="AQ452" s="113"/>
      <c r="AR452" s="113"/>
      <c r="AS452" s="113"/>
      <c r="AT452" s="113"/>
      <c r="AU452" s="113"/>
      <c r="AV452" s="113"/>
      <c r="AW452" s="113"/>
      <c r="AX452" s="113"/>
      <c r="AY452" s="113"/>
      <c r="AZ452" s="113"/>
      <c r="BA452" s="113"/>
      <c r="BB452" s="113"/>
      <c r="BC452" s="113"/>
      <c r="BD452" s="113"/>
      <c r="BE452" s="113"/>
      <c r="BF452" s="113"/>
      <c r="BG452" s="113"/>
      <c r="BH452" s="113"/>
      <c r="BI452" s="113"/>
      <c r="BJ452" s="113"/>
      <c r="BK452" s="113"/>
      <c r="BL452" s="113"/>
      <c r="BM452" s="113"/>
      <c r="BN452" s="113"/>
      <c r="BO452" s="113"/>
      <c r="BP452" s="113"/>
      <c r="BQ452" s="113"/>
      <c r="BR452" s="113"/>
      <c r="BS452" s="113"/>
      <c r="BT452" s="113"/>
      <c r="BU452" s="113"/>
      <c r="BV452" s="113"/>
      <c r="BW452" s="113"/>
      <c r="BX452" s="113"/>
      <c r="BY452" s="113"/>
      <c r="BZ452" s="113"/>
      <c r="CA452" s="113"/>
      <c r="CB452" s="113"/>
    </row>
    <row r="453" spans="5:80" x14ac:dyDescent="0.25">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c r="AC453" s="113"/>
      <c r="AD453" s="113"/>
      <c r="AE453" s="113"/>
      <c r="AF453" s="113"/>
      <c r="AG453" s="113"/>
      <c r="AH453" s="113"/>
      <c r="AI453" s="113"/>
      <c r="AJ453" s="113"/>
      <c r="AK453" s="113"/>
      <c r="AL453" s="113"/>
      <c r="AM453" s="113"/>
      <c r="AN453" s="113"/>
      <c r="AO453" s="113"/>
      <c r="AP453" s="113"/>
      <c r="AQ453" s="113"/>
      <c r="AR453" s="113"/>
      <c r="AS453" s="113"/>
      <c r="AT453" s="113"/>
      <c r="AU453" s="113"/>
      <c r="AV453" s="113"/>
      <c r="AW453" s="113"/>
      <c r="AX453" s="113"/>
      <c r="AY453" s="113"/>
      <c r="AZ453" s="113"/>
      <c r="BA453" s="113"/>
      <c r="BB453" s="113"/>
      <c r="BC453" s="113"/>
      <c r="BD453" s="113"/>
      <c r="BE453" s="113"/>
      <c r="BF453" s="113"/>
      <c r="BG453" s="113"/>
      <c r="BH453" s="113"/>
      <c r="BI453" s="113"/>
      <c r="BJ453" s="113"/>
      <c r="BK453" s="113"/>
      <c r="BL453" s="113"/>
      <c r="BM453" s="113"/>
      <c r="BN453" s="113"/>
      <c r="BO453" s="113"/>
      <c r="BP453" s="113"/>
      <c r="BQ453" s="113"/>
      <c r="BR453" s="113"/>
      <c r="BS453" s="113"/>
      <c r="BT453" s="113"/>
      <c r="BU453" s="113"/>
      <c r="BV453" s="113"/>
      <c r="BW453" s="113"/>
      <c r="BX453" s="113"/>
      <c r="BY453" s="113"/>
      <c r="BZ453" s="113"/>
      <c r="CA453" s="113"/>
      <c r="CB453" s="113"/>
    </row>
    <row r="454" spans="5:80" x14ac:dyDescent="0.25">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c r="AC454" s="113"/>
      <c r="AD454" s="113"/>
      <c r="AE454" s="113"/>
      <c r="AF454" s="113"/>
      <c r="AG454" s="113"/>
      <c r="AH454" s="113"/>
      <c r="AI454" s="113"/>
      <c r="AJ454" s="113"/>
      <c r="AK454" s="113"/>
      <c r="AL454" s="113"/>
      <c r="AM454" s="113"/>
      <c r="AN454" s="113"/>
      <c r="AO454" s="113"/>
      <c r="AP454" s="113"/>
      <c r="AQ454" s="113"/>
      <c r="AR454" s="113"/>
      <c r="AS454" s="113"/>
      <c r="AT454" s="113"/>
      <c r="AU454" s="113"/>
      <c r="AV454" s="113"/>
      <c r="AW454" s="113"/>
      <c r="AX454" s="113"/>
      <c r="AY454" s="113"/>
      <c r="AZ454" s="113"/>
      <c r="BA454" s="113"/>
      <c r="BB454" s="113"/>
      <c r="BC454" s="113"/>
      <c r="BD454" s="113"/>
      <c r="BE454" s="113"/>
      <c r="BF454" s="113"/>
      <c r="BG454" s="113"/>
      <c r="BH454" s="113"/>
      <c r="BI454" s="113"/>
      <c r="BJ454" s="113"/>
      <c r="BK454" s="113"/>
      <c r="BL454" s="113"/>
      <c r="BM454" s="113"/>
      <c r="BN454" s="113"/>
      <c r="BO454" s="113"/>
      <c r="BP454" s="113"/>
      <c r="BQ454" s="113"/>
      <c r="BR454" s="113"/>
      <c r="BS454" s="113"/>
      <c r="BT454" s="113"/>
      <c r="BU454" s="113"/>
      <c r="BV454" s="113"/>
      <c r="BW454" s="113"/>
      <c r="BX454" s="113"/>
      <c r="BY454" s="113"/>
      <c r="BZ454" s="113"/>
      <c r="CA454" s="113"/>
      <c r="CB454" s="113"/>
    </row>
    <row r="455" spans="5:80" x14ac:dyDescent="0.25">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c r="AC455" s="113"/>
      <c r="AD455" s="113"/>
      <c r="AE455" s="113"/>
      <c r="AF455" s="113"/>
      <c r="AG455" s="113"/>
      <c r="AH455" s="113"/>
      <c r="AI455" s="113"/>
      <c r="AJ455" s="113"/>
      <c r="AK455" s="113"/>
      <c r="AL455" s="113"/>
      <c r="AM455" s="113"/>
      <c r="AN455" s="113"/>
      <c r="AO455" s="113"/>
      <c r="AP455" s="113"/>
      <c r="AQ455" s="113"/>
      <c r="AR455" s="113"/>
      <c r="AS455" s="113"/>
      <c r="AT455" s="113"/>
      <c r="AU455" s="113"/>
      <c r="AV455" s="113"/>
      <c r="AW455" s="113"/>
      <c r="AX455" s="113"/>
      <c r="AY455" s="113"/>
      <c r="AZ455" s="113"/>
      <c r="BA455" s="113"/>
      <c r="BB455" s="113"/>
      <c r="BC455" s="113"/>
      <c r="BD455" s="113"/>
      <c r="BE455" s="113"/>
      <c r="BF455" s="113"/>
      <c r="BG455" s="113"/>
      <c r="BH455" s="113"/>
      <c r="BI455" s="113"/>
      <c r="BJ455" s="113"/>
      <c r="BK455" s="113"/>
      <c r="BL455" s="113"/>
      <c r="BM455" s="113"/>
      <c r="BN455" s="113"/>
      <c r="BO455" s="113"/>
      <c r="BP455" s="113"/>
      <c r="BQ455" s="113"/>
      <c r="BR455" s="113"/>
      <c r="BS455" s="113"/>
      <c r="BT455" s="113"/>
      <c r="BU455" s="113"/>
      <c r="BV455" s="113"/>
      <c r="BW455" s="113"/>
      <c r="BX455" s="113"/>
      <c r="BY455" s="113"/>
      <c r="BZ455" s="113"/>
      <c r="CA455" s="113"/>
      <c r="CB455" s="113"/>
    </row>
    <row r="456" spans="5:80" x14ac:dyDescent="0.25">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c r="AC456" s="113"/>
      <c r="AD456" s="113"/>
      <c r="AE456" s="113"/>
      <c r="AF456" s="113"/>
      <c r="AG456" s="113"/>
      <c r="AH456" s="113"/>
      <c r="AI456" s="113"/>
      <c r="AJ456" s="113"/>
      <c r="AK456" s="113"/>
      <c r="AL456" s="113"/>
      <c r="AM456" s="113"/>
      <c r="AN456" s="113"/>
      <c r="AO456" s="113"/>
      <c r="AP456" s="113"/>
      <c r="AQ456" s="113"/>
      <c r="AR456" s="113"/>
      <c r="AS456" s="113"/>
      <c r="AT456" s="113"/>
      <c r="AU456" s="113"/>
      <c r="AV456" s="113"/>
      <c r="AW456" s="113"/>
      <c r="AX456" s="113"/>
      <c r="AY456" s="113"/>
      <c r="AZ456" s="113"/>
      <c r="BA456" s="113"/>
      <c r="BB456" s="113"/>
      <c r="BC456" s="113"/>
      <c r="BD456" s="113"/>
      <c r="BE456" s="113"/>
      <c r="BF456" s="113"/>
      <c r="BG456" s="113"/>
      <c r="BH456" s="113"/>
      <c r="BI456" s="113"/>
      <c r="BJ456" s="113"/>
      <c r="BK456" s="113"/>
      <c r="BL456" s="113"/>
      <c r="BM456" s="113"/>
      <c r="BN456" s="113"/>
      <c r="BO456" s="113"/>
      <c r="BP456" s="113"/>
      <c r="BQ456" s="113"/>
      <c r="BR456" s="113"/>
      <c r="BS456" s="113"/>
      <c r="BT456" s="113"/>
      <c r="BU456" s="113"/>
      <c r="BV456" s="113"/>
      <c r="BW456" s="113"/>
      <c r="BX456" s="113"/>
      <c r="BY456" s="113"/>
      <c r="BZ456" s="113"/>
      <c r="CA456" s="113"/>
      <c r="CB456" s="113"/>
    </row>
    <row r="457" spans="5:80" x14ac:dyDescent="0.25">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c r="AC457" s="113"/>
      <c r="AD457" s="113"/>
      <c r="AE457" s="113"/>
      <c r="AF457" s="113"/>
      <c r="AG457" s="113"/>
      <c r="AH457" s="113"/>
      <c r="AI457" s="113"/>
      <c r="AJ457" s="113"/>
      <c r="AK457" s="113"/>
      <c r="AL457" s="113"/>
      <c r="AM457" s="113"/>
      <c r="AN457" s="113"/>
      <c r="AO457" s="113"/>
      <c r="AP457" s="113"/>
      <c r="AQ457" s="113"/>
      <c r="AR457" s="113"/>
      <c r="AS457" s="113"/>
      <c r="AT457" s="113"/>
      <c r="AU457" s="113"/>
      <c r="AV457" s="113"/>
      <c r="AW457" s="113"/>
      <c r="AX457" s="113"/>
      <c r="AY457" s="113"/>
      <c r="AZ457" s="113"/>
      <c r="BA457" s="113"/>
      <c r="BB457" s="113"/>
      <c r="BC457" s="113"/>
      <c r="BD457" s="113"/>
      <c r="BE457" s="113"/>
      <c r="BF457" s="113"/>
      <c r="BG457" s="113"/>
      <c r="BH457" s="113"/>
      <c r="BI457" s="113"/>
      <c r="BJ457" s="113"/>
      <c r="BK457" s="113"/>
      <c r="BL457" s="113"/>
      <c r="BM457" s="113"/>
      <c r="BN457" s="113"/>
      <c r="BO457" s="113"/>
      <c r="BP457" s="113"/>
      <c r="BQ457" s="113"/>
      <c r="BR457" s="113"/>
      <c r="BS457" s="113"/>
      <c r="BT457" s="113"/>
      <c r="BU457" s="113"/>
      <c r="BV457" s="113"/>
      <c r="BW457" s="113"/>
      <c r="BX457" s="113"/>
      <c r="BY457" s="113"/>
      <c r="BZ457" s="113"/>
      <c r="CA457" s="113"/>
      <c r="CB457" s="113"/>
    </row>
    <row r="458" spans="5:80" x14ac:dyDescent="0.25">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c r="AC458" s="113"/>
      <c r="AD458" s="113"/>
      <c r="AE458" s="113"/>
      <c r="AF458" s="113"/>
      <c r="AG458" s="113"/>
      <c r="AH458" s="113"/>
      <c r="AI458" s="113"/>
      <c r="AJ458" s="113"/>
      <c r="AK458" s="113"/>
      <c r="AL458" s="113"/>
      <c r="AM458" s="113"/>
      <c r="AN458" s="113"/>
      <c r="AO458" s="113"/>
      <c r="AP458" s="113"/>
      <c r="AQ458" s="113"/>
      <c r="AR458" s="113"/>
      <c r="AS458" s="113"/>
      <c r="AT458" s="113"/>
      <c r="AU458" s="113"/>
      <c r="AV458" s="113"/>
      <c r="AW458" s="113"/>
      <c r="AX458" s="113"/>
      <c r="AY458" s="113"/>
      <c r="AZ458" s="113"/>
      <c r="BA458" s="113"/>
      <c r="BB458" s="113"/>
      <c r="BC458" s="113"/>
      <c r="BD458" s="113"/>
      <c r="BE458" s="113"/>
      <c r="BF458" s="113"/>
      <c r="BG458" s="113"/>
      <c r="BH458" s="113"/>
      <c r="BI458" s="113"/>
      <c r="BJ458" s="113"/>
      <c r="BK458" s="113"/>
      <c r="BL458" s="113"/>
      <c r="BM458" s="113"/>
      <c r="BN458" s="113"/>
      <c r="BO458" s="113"/>
      <c r="BP458" s="113"/>
      <c r="BQ458" s="113"/>
      <c r="BR458" s="113"/>
      <c r="BS458" s="113"/>
      <c r="BT458" s="113"/>
      <c r="BU458" s="113"/>
      <c r="BV458" s="113"/>
      <c r="BW458" s="113"/>
      <c r="BX458" s="113"/>
      <c r="BY458" s="113"/>
      <c r="BZ458" s="113"/>
      <c r="CA458" s="113"/>
      <c r="CB458" s="113"/>
    </row>
    <row r="459" spans="5:80" x14ac:dyDescent="0.25">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c r="AC459" s="113"/>
      <c r="AD459" s="113"/>
      <c r="AE459" s="113"/>
      <c r="AF459" s="113"/>
      <c r="AG459" s="113"/>
      <c r="AH459" s="113"/>
      <c r="AI459" s="113"/>
      <c r="AJ459" s="113"/>
      <c r="AK459" s="113"/>
      <c r="AL459" s="113"/>
      <c r="AM459" s="113"/>
      <c r="AN459" s="113"/>
      <c r="AO459" s="113"/>
      <c r="AP459" s="113"/>
      <c r="AQ459" s="113"/>
      <c r="AR459" s="113"/>
      <c r="AS459" s="113"/>
      <c r="AT459" s="113"/>
      <c r="AU459" s="113"/>
      <c r="AV459" s="113"/>
      <c r="AW459" s="113"/>
      <c r="AX459" s="113"/>
      <c r="AY459" s="113"/>
      <c r="AZ459" s="113"/>
      <c r="BA459" s="113"/>
      <c r="BB459" s="113"/>
      <c r="BC459" s="113"/>
      <c r="BD459" s="113"/>
      <c r="BE459" s="113"/>
      <c r="BF459" s="113"/>
      <c r="BG459" s="113"/>
      <c r="BH459" s="113"/>
      <c r="BI459" s="113"/>
      <c r="BJ459" s="113"/>
      <c r="BK459" s="113"/>
      <c r="BL459" s="113"/>
      <c r="BM459" s="113"/>
      <c r="BN459" s="113"/>
      <c r="BO459" s="113"/>
      <c r="BP459" s="113"/>
      <c r="BQ459" s="113"/>
      <c r="BR459" s="113"/>
      <c r="BS459" s="113"/>
      <c r="BT459" s="113"/>
      <c r="BU459" s="113"/>
      <c r="BV459" s="113"/>
      <c r="BW459" s="113"/>
      <c r="BX459" s="113"/>
      <c r="BY459" s="113"/>
      <c r="BZ459" s="113"/>
      <c r="CA459" s="113"/>
      <c r="CB459" s="113"/>
    </row>
    <row r="460" spans="5:80" x14ac:dyDescent="0.25">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c r="AC460" s="113"/>
      <c r="AD460" s="113"/>
      <c r="AE460" s="113"/>
      <c r="AF460" s="113"/>
      <c r="AG460" s="113"/>
      <c r="AH460" s="113"/>
      <c r="AI460" s="113"/>
      <c r="AJ460" s="113"/>
      <c r="AK460" s="113"/>
      <c r="AL460" s="113"/>
      <c r="AM460" s="113"/>
      <c r="AN460" s="113"/>
      <c r="AO460" s="113"/>
      <c r="AP460" s="113"/>
      <c r="AQ460" s="113"/>
      <c r="AR460" s="113"/>
      <c r="AS460" s="113"/>
      <c r="AT460" s="113"/>
      <c r="AU460" s="113"/>
      <c r="AV460" s="113"/>
      <c r="AW460" s="113"/>
      <c r="AX460" s="113"/>
      <c r="AY460" s="113"/>
      <c r="AZ460" s="113"/>
      <c r="BA460" s="113"/>
      <c r="BB460" s="113"/>
      <c r="BC460" s="113"/>
      <c r="BD460" s="113"/>
      <c r="BE460" s="113"/>
      <c r="BF460" s="113"/>
      <c r="BG460" s="113"/>
      <c r="BH460" s="113"/>
      <c r="BI460" s="113"/>
      <c r="BJ460" s="113"/>
      <c r="BK460" s="113"/>
      <c r="BL460" s="113"/>
      <c r="BM460" s="113"/>
      <c r="BN460" s="113"/>
      <c r="BO460" s="113"/>
      <c r="BP460" s="113"/>
      <c r="BQ460" s="113"/>
      <c r="BR460" s="113"/>
      <c r="BS460" s="113"/>
      <c r="BT460" s="113"/>
      <c r="BU460" s="113"/>
      <c r="BV460" s="113"/>
      <c r="BW460" s="113"/>
      <c r="BX460" s="113"/>
      <c r="BY460" s="113"/>
      <c r="BZ460" s="113"/>
      <c r="CA460" s="113"/>
      <c r="CB460" s="113"/>
    </row>
    <row r="461" spans="5:80" x14ac:dyDescent="0.25">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c r="AC461" s="113"/>
      <c r="AD461" s="113"/>
      <c r="AE461" s="113"/>
      <c r="AF461" s="113"/>
      <c r="AG461" s="113"/>
      <c r="AH461" s="113"/>
      <c r="AI461" s="113"/>
      <c r="AJ461" s="113"/>
      <c r="AK461" s="113"/>
      <c r="AL461" s="113"/>
      <c r="AM461" s="113"/>
      <c r="AN461" s="113"/>
      <c r="AO461" s="113"/>
      <c r="AP461" s="113"/>
      <c r="AQ461" s="113"/>
      <c r="AR461" s="113"/>
      <c r="AS461" s="113"/>
      <c r="AT461" s="113"/>
      <c r="AU461" s="113"/>
      <c r="AV461" s="113"/>
      <c r="AW461" s="113"/>
      <c r="AX461" s="113"/>
      <c r="AY461" s="113"/>
      <c r="AZ461" s="113"/>
      <c r="BA461" s="113"/>
      <c r="BB461" s="113"/>
      <c r="BC461" s="113"/>
      <c r="BD461" s="113"/>
      <c r="BE461" s="113"/>
      <c r="BF461" s="113"/>
      <c r="BG461" s="113"/>
      <c r="BH461" s="113"/>
      <c r="BI461" s="113"/>
      <c r="BJ461" s="113"/>
      <c r="BK461" s="113"/>
      <c r="BL461" s="113"/>
      <c r="BM461" s="113"/>
      <c r="BN461" s="113"/>
      <c r="BO461" s="113"/>
      <c r="BP461" s="113"/>
      <c r="BQ461" s="113"/>
      <c r="BR461" s="113"/>
      <c r="BS461" s="113"/>
      <c r="BT461" s="113"/>
      <c r="BU461" s="113"/>
      <c r="BV461" s="113"/>
      <c r="BW461" s="113"/>
      <c r="BX461" s="113"/>
      <c r="BY461" s="113"/>
      <c r="BZ461" s="113"/>
      <c r="CA461" s="113"/>
      <c r="CB461" s="113"/>
    </row>
    <row r="462" spans="5:80" x14ac:dyDescent="0.25">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c r="AC462" s="113"/>
      <c r="AD462" s="113"/>
      <c r="AE462" s="113"/>
      <c r="AF462" s="113"/>
      <c r="AG462" s="113"/>
      <c r="AH462" s="113"/>
      <c r="AI462" s="113"/>
      <c r="AJ462" s="113"/>
      <c r="AK462" s="113"/>
      <c r="AL462" s="113"/>
      <c r="AM462" s="113"/>
      <c r="AN462" s="113"/>
      <c r="AO462" s="113"/>
      <c r="AP462" s="113"/>
      <c r="AQ462" s="113"/>
      <c r="AR462" s="113"/>
      <c r="AS462" s="113"/>
      <c r="AT462" s="113"/>
      <c r="AU462" s="113"/>
      <c r="AV462" s="113"/>
      <c r="AW462" s="113"/>
      <c r="AX462" s="113"/>
      <c r="AY462" s="113"/>
      <c r="AZ462" s="113"/>
      <c r="BA462" s="113"/>
      <c r="BB462" s="113"/>
      <c r="BC462" s="113"/>
      <c r="BD462" s="113"/>
      <c r="BE462" s="113"/>
      <c r="BF462" s="113"/>
      <c r="BG462" s="113"/>
      <c r="BH462" s="113"/>
      <c r="BI462" s="113"/>
      <c r="BJ462" s="113"/>
      <c r="BK462" s="113"/>
      <c r="BL462" s="113"/>
      <c r="BM462" s="113"/>
      <c r="BN462" s="113"/>
      <c r="BO462" s="113"/>
      <c r="BP462" s="113"/>
      <c r="BQ462" s="113"/>
      <c r="BR462" s="113"/>
      <c r="BS462" s="113"/>
      <c r="BT462" s="113"/>
      <c r="BU462" s="113"/>
      <c r="BV462" s="113"/>
      <c r="BW462" s="113"/>
      <c r="BX462" s="113"/>
      <c r="BY462" s="113"/>
      <c r="BZ462" s="113"/>
      <c r="CA462" s="113"/>
      <c r="CB462" s="113"/>
    </row>
    <row r="463" spans="5:80" x14ac:dyDescent="0.25">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c r="AC463" s="113"/>
      <c r="AD463" s="113"/>
      <c r="AE463" s="113"/>
      <c r="AF463" s="113"/>
      <c r="AG463" s="113"/>
      <c r="AH463" s="113"/>
      <c r="AI463" s="113"/>
      <c r="AJ463" s="113"/>
      <c r="AK463" s="113"/>
      <c r="AL463" s="113"/>
      <c r="AM463" s="113"/>
      <c r="AN463" s="113"/>
      <c r="AO463" s="113"/>
      <c r="AP463" s="113"/>
      <c r="AQ463" s="113"/>
      <c r="AR463" s="113"/>
      <c r="AS463" s="113"/>
      <c r="AT463" s="113"/>
      <c r="AU463" s="113"/>
      <c r="AV463" s="113"/>
      <c r="AW463" s="113"/>
      <c r="AX463" s="113"/>
      <c r="AY463" s="113"/>
      <c r="AZ463" s="113"/>
      <c r="BA463" s="113"/>
      <c r="BB463" s="113"/>
      <c r="BC463" s="113"/>
      <c r="BD463" s="113"/>
      <c r="BE463" s="113"/>
      <c r="BF463" s="113"/>
      <c r="BG463" s="113"/>
      <c r="BH463" s="113"/>
      <c r="BI463" s="113"/>
      <c r="BJ463" s="113"/>
      <c r="BK463" s="113"/>
      <c r="BL463" s="113"/>
      <c r="BM463" s="113"/>
      <c r="BN463" s="113"/>
      <c r="BO463" s="113"/>
      <c r="BP463" s="113"/>
      <c r="BQ463" s="113"/>
      <c r="BR463" s="113"/>
      <c r="BS463" s="113"/>
      <c r="BT463" s="113"/>
      <c r="BU463" s="113"/>
      <c r="BV463" s="113"/>
      <c r="BW463" s="113"/>
      <c r="BX463" s="113"/>
      <c r="BY463" s="113"/>
      <c r="BZ463" s="113"/>
      <c r="CA463" s="113"/>
      <c r="CB463" s="113"/>
    </row>
    <row r="464" spans="5:80" x14ac:dyDescent="0.25">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c r="AC464" s="113"/>
      <c r="AD464" s="113"/>
      <c r="AE464" s="113"/>
      <c r="AF464" s="113"/>
      <c r="AG464" s="113"/>
      <c r="AH464" s="113"/>
      <c r="AI464" s="113"/>
      <c r="AJ464" s="113"/>
      <c r="AK464" s="113"/>
      <c r="AL464" s="113"/>
      <c r="AM464" s="113"/>
      <c r="AN464" s="113"/>
      <c r="AO464" s="113"/>
      <c r="AP464" s="113"/>
      <c r="AQ464" s="113"/>
      <c r="AR464" s="113"/>
      <c r="AS464" s="113"/>
      <c r="AT464" s="113"/>
      <c r="AU464" s="113"/>
      <c r="AV464" s="113"/>
      <c r="AW464" s="113"/>
      <c r="AX464" s="113"/>
      <c r="AY464" s="113"/>
      <c r="AZ464" s="113"/>
      <c r="BA464" s="113"/>
      <c r="BB464" s="113"/>
      <c r="BC464" s="113"/>
      <c r="BD464" s="113"/>
      <c r="BE464" s="113"/>
      <c r="BF464" s="113"/>
      <c r="BG464" s="113"/>
      <c r="BH464" s="113"/>
      <c r="BI464" s="113"/>
      <c r="BJ464" s="113"/>
      <c r="BK464" s="113"/>
      <c r="BL464" s="113"/>
      <c r="BM464" s="113"/>
      <c r="BN464" s="113"/>
      <c r="BO464" s="113"/>
      <c r="BP464" s="113"/>
      <c r="BQ464" s="113"/>
      <c r="BR464" s="113"/>
      <c r="BS464" s="113"/>
      <c r="BT464" s="113"/>
      <c r="BU464" s="113"/>
      <c r="BV464" s="113"/>
      <c r="BW464" s="113"/>
      <c r="BX464" s="113"/>
      <c r="BY464" s="113"/>
      <c r="BZ464" s="113"/>
      <c r="CA464" s="113"/>
      <c r="CB464" s="113"/>
    </row>
    <row r="465" spans="5:80" x14ac:dyDescent="0.25">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c r="AC465" s="113"/>
      <c r="AD465" s="113"/>
      <c r="AE465" s="113"/>
      <c r="AF465" s="113"/>
      <c r="AG465" s="113"/>
      <c r="AH465" s="113"/>
      <c r="AI465" s="113"/>
      <c r="AJ465" s="113"/>
      <c r="AK465" s="113"/>
      <c r="AL465" s="113"/>
      <c r="AM465" s="113"/>
      <c r="AN465" s="113"/>
      <c r="AO465" s="113"/>
      <c r="AP465" s="113"/>
      <c r="AQ465" s="113"/>
      <c r="AR465" s="113"/>
      <c r="AS465" s="113"/>
      <c r="AT465" s="113"/>
      <c r="AU465" s="113"/>
      <c r="AV465" s="113"/>
      <c r="AW465" s="113"/>
      <c r="AX465" s="113"/>
      <c r="AY465" s="113"/>
      <c r="AZ465" s="113"/>
      <c r="BA465" s="113"/>
      <c r="BB465" s="113"/>
      <c r="BC465" s="113"/>
      <c r="BD465" s="113"/>
      <c r="BE465" s="113"/>
      <c r="BF465" s="113"/>
      <c r="BG465" s="113"/>
      <c r="BH465" s="113"/>
      <c r="BI465" s="113"/>
      <c r="BJ465" s="113"/>
      <c r="BK465" s="113"/>
      <c r="BL465" s="113"/>
      <c r="BM465" s="113"/>
      <c r="BN465" s="113"/>
      <c r="BO465" s="113"/>
      <c r="BP465" s="113"/>
      <c r="BQ465" s="113"/>
      <c r="BR465" s="113"/>
      <c r="BS465" s="113"/>
      <c r="BT465" s="113"/>
      <c r="BU465" s="113"/>
      <c r="BV465" s="113"/>
      <c r="BW465" s="113"/>
      <c r="BX465" s="113"/>
      <c r="BY465" s="113"/>
      <c r="BZ465" s="113"/>
      <c r="CA465" s="113"/>
      <c r="CB465" s="113"/>
    </row>
    <row r="466" spans="5:80" x14ac:dyDescent="0.25">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c r="AC466" s="113"/>
      <c r="AD466" s="113"/>
      <c r="AE466" s="113"/>
      <c r="AF466" s="113"/>
      <c r="AG466" s="113"/>
      <c r="AH466" s="113"/>
      <c r="AI466" s="113"/>
      <c r="AJ466" s="113"/>
      <c r="AK466" s="113"/>
      <c r="AL466" s="113"/>
      <c r="AM466" s="113"/>
      <c r="AN466" s="113"/>
      <c r="AO466" s="113"/>
      <c r="AP466" s="113"/>
      <c r="AQ466" s="113"/>
      <c r="AR466" s="113"/>
      <c r="AS466" s="113"/>
      <c r="AT466" s="113"/>
      <c r="AU466" s="113"/>
      <c r="AV466" s="113"/>
      <c r="AW466" s="113"/>
      <c r="AX466" s="113"/>
      <c r="AY466" s="113"/>
      <c r="AZ466" s="113"/>
      <c r="BA466" s="113"/>
      <c r="BB466" s="113"/>
      <c r="BC466" s="113"/>
      <c r="BD466" s="113"/>
      <c r="BE466" s="113"/>
      <c r="BF466" s="113"/>
      <c r="BG466" s="113"/>
      <c r="BH466" s="113"/>
      <c r="BI466" s="113"/>
      <c r="BJ466" s="113"/>
      <c r="BK466" s="113"/>
      <c r="BL466" s="113"/>
      <c r="BM466" s="113"/>
      <c r="BN466" s="113"/>
      <c r="BO466" s="113"/>
      <c r="BP466" s="113"/>
      <c r="BQ466" s="113"/>
      <c r="BR466" s="113"/>
      <c r="BS466" s="113"/>
      <c r="BT466" s="113"/>
      <c r="BU466" s="113"/>
      <c r="BV466" s="113"/>
      <c r="BW466" s="113"/>
      <c r="BX466" s="113"/>
      <c r="BY466" s="113"/>
      <c r="BZ466" s="113"/>
      <c r="CA466" s="113"/>
      <c r="CB466" s="113"/>
    </row>
    <row r="467" spans="5:80" x14ac:dyDescent="0.25">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c r="AC467" s="113"/>
      <c r="AD467" s="113"/>
      <c r="AE467" s="113"/>
      <c r="AF467" s="113"/>
      <c r="AG467" s="113"/>
      <c r="AH467" s="113"/>
      <c r="AI467" s="113"/>
      <c r="AJ467" s="113"/>
      <c r="AK467" s="113"/>
      <c r="AL467" s="113"/>
      <c r="AM467" s="113"/>
      <c r="AN467" s="113"/>
      <c r="AO467" s="113"/>
      <c r="AP467" s="113"/>
      <c r="AQ467" s="113"/>
      <c r="AR467" s="113"/>
      <c r="AS467" s="113"/>
      <c r="AT467" s="113"/>
      <c r="AU467" s="113"/>
      <c r="AV467" s="113"/>
      <c r="AW467" s="113"/>
      <c r="AX467" s="113"/>
      <c r="AY467" s="113"/>
      <c r="AZ467" s="113"/>
      <c r="BA467" s="113"/>
      <c r="BB467" s="113"/>
      <c r="BC467" s="113"/>
      <c r="BD467" s="113"/>
      <c r="BE467" s="113"/>
      <c r="BF467" s="113"/>
      <c r="BG467" s="113"/>
      <c r="BH467" s="113"/>
      <c r="BI467" s="113"/>
      <c r="BJ467" s="113"/>
      <c r="BK467" s="113"/>
      <c r="BL467" s="113"/>
      <c r="BM467" s="113"/>
      <c r="BN467" s="113"/>
      <c r="BO467" s="113"/>
      <c r="BP467" s="113"/>
      <c r="BQ467" s="113"/>
      <c r="BR467" s="113"/>
      <c r="BS467" s="113"/>
      <c r="BT467" s="113"/>
      <c r="BU467" s="113"/>
      <c r="BV467" s="113"/>
      <c r="BW467" s="113"/>
      <c r="BX467" s="113"/>
      <c r="BY467" s="113"/>
      <c r="BZ467" s="113"/>
      <c r="CA467" s="113"/>
      <c r="CB467" s="113"/>
    </row>
    <row r="468" spans="5:80" x14ac:dyDescent="0.25">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c r="AC468" s="113"/>
      <c r="AD468" s="113"/>
      <c r="AE468" s="113"/>
      <c r="AF468" s="113"/>
      <c r="AG468" s="113"/>
      <c r="AH468" s="113"/>
      <c r="AI468" s="113"/>
      <c r="AJ468" s="113"/>
      <c r="AK468" s="113"/>
      <c r="AL468" s="113"/>
      <c r="AM468" s="113"/>
      <c r="AN468" s="113"/>
      <c r="AO468" s="113"/>
      <c r="AP468" s="113"/>
      <c r="AQ468" s="113"/>
      <c r="AR468" s="113"/>
      <c r="AS468" s="113"/>
      <c r="AT468" s="113"/>
      <c r="AU468" s="113"/>
      <c r="AV468" s="113"/>
      <c r="AW468" s="113"/>
      <c r="AX468" s="113"/>
      <c r="AY468" s="113"/>
      <c r="AZ468" s="113"/>
      <c r="BA468" s="113"/>
      <c r="BB468" s="113"/>
      <c r="BC468" s="113"/>
      <c r="BD468" s="113"/>
      <c r="BE468" s="113"/>
      <c r="BF468" s="113"/>
      <c r="BG468" s="113"/>
      <c r="BH468" s="113"/>
      <c r="BI468" s="113"/>
      <c r="BJ468" s="113"/>
      <c r="BK468" s="113"/>
      <c r="BL468" s="113"/>
      <c r="BM468" s="113"/>
      <c r="BN468" s="113"/>
      <c r="BO468" s="113"/>
      <c r="BP468" s="113"/>
      <c r="BQ468" s="113"/>
      <c r="BR468" s="113"/>
      <c r="BS468" s="113"/>
      <c r="BT468" s="113"/>
      <c r="BU468" s="113"/>
      <c r="BV468" s="113"/>
      <c r="BW468" s="113"/>
      <c r="BX468" s="113"/>
      <c r="BY468" s="113"/>
      <c r="BZ468" s="113"/>
      <c r="CA468" s="113"/>
      <c r="CB468" s="113"/>
    </row>
    <row r="469" spans="5:80" x14ac:dyDescent="0.25">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c r="AC469" s="113"/>
      <c r="AD469" s="113"/>
      <c r="AE469" s="113"/>
      <c r="AF469" s="113"/>
      <c r="AG469" s="113"/>
      <c r="AH469" s="113"/>
      <c r="AI469" s="113"/>
      <c r="AJ469" s="113"/>
      <c r="AK469" s="113"/>
      <c r="AL469" s="113"/>
      <c r="AM469" s="113"/>
      <c r="AN469" s="113"/>
      <c r="AO469" s="113"/>
      <c r="AP469" s="113"/>
      <c r="AQ469" s="113"/>
      <c r="AR469" s="113"/>
      <c r="AS469" s="113"/>
      <c r="AT469" s="113"/>
      <c r="AU469" s="113"/>
      <c r="AV469" s="113"/>
      <c r="AW469" s="113"/>
      <c r="AX469" s="113"/>
      <c r="AY469" s="113"/>
      <c r="AZ469" s="113"/>
      <c r="BA469" s="113"/>
      <c r="BB469" s="113"/>
      <c r="BC469" s="113"/>
      <c r="BD469" s="113"/>
      <c r="BE469" s="113"/>
      <c r="BF469" s="113"/>
      <c r="BG469" s="113"/>
      <c r="BH469" s="113"/>
      <c r="BI469" s="113"/>
      <c r="BJ469" s="113"/>
      <c r="BK469" s="113"/>
      <c r="BL469" s="113"/>
      <c r="BM469" s="113"/>
      <c r="BN469" s="113"/>
      <c r="BO469" s="113"/>
      <c r="BP469" s="113"/>
      <c r="BQ469" s="113"/>
      <c r="BR469" s="113"/>
      <c r="BS469" s="113"/>
      <c r="BT469" s="113"/>
      <c r="BU469" s="113"/>
      <c r="BV469" s="113"/>
      <c r="BW469" s="113"/>
      <c r="BX469" s="113"/>
      <c r="BY469" s="113"/>
      <c r="BZ469" s="113"/>
      <c r="CA469" s="113"/>
      <c r="CB469" s="113"/>
    </row>
    <row r="470" spans="5:80" x14ac:dyDescent="0.25">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c r="AC470" s="113"/>
      <c r="AD470" s="113"/>
      <c r="AE470" s="113"/>
      <c r="AF470" s="113"/>
      <c r="AG470" s="113"/>
      <c r="AH470" s="113"/>
      <c r="AI470" s="113"/>
      <c r="AJ470" s="113"/>
      <c r="AK470" s="113"/>
      <c r="AL470" s="113"/>
      <c r="AM470" s="113"/>
      <c r="AN470" s="113"/>
      <c r="AO470" s="113"/>
      <c r="AP470" s="113"/>
      <c r="AQ470" s="113"/>
      <c r="AR470" s="113"/>
      <c r="AS470" s="113"/>
      <c r="AT470" s="113"/>
      <c r="AU470" s="113"/>
      <c r="AV470" s="113"/>
      <c r="AW470" s="113"/>
      <c r="AX470" s="113"/>
      <c r="AY470" s="113"/>
      <c r="AZ470" s="113"/>
      <c r="BA470" s="113"/>
      <c r="BB470" s="113"/>
      <c r="BC470" s="113"/>
      <c r="BD470" s="113"/>
      <c r="BE470" s="113"/>
      <c r="BF470" s="113"/>
      <c r="BG470" s="113"/>
      <c r="BH470" s="113"/>
      <c r="BI470" s="113"/>
      <c r="BJ470" s="113"/>
      <c r="BK470" s="113"/>
      <c r="BL470" s="113"/>
      <c r="BM470" s="113"/>
      <c r="BN470" s="113"/>
      <c r="BO470" s="113"/>
      <c r="BP470" s="113"/>
      <c r="BQ470" s="113"/>
      <c r="BR470" s="113"/>
      <c r="BS470" s="113"/>
      <c r="BT470" s="113"/>
      <c r="BU470" s="113"/>
      <c r="BV470" s="113"/>
      <c r="BW470" s="113"/>
      <c r="BX470" s="113"/>
      <c r="BY470" s="113"/>
      <c r="BZ470" s="113"/>
      <c r="CA470" s="113"/>
      <c r="CB470" s="113"/>
    </row>
    <row r="471" spans="5:80" x14ac:dyDescent="0.25">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c r="AC471" s="113"/>
      <c r="AD471" s="113"/>
      <c r="AE471" s="113"/>
      <c r="AF471" s="113"/>
      <c r="AG471" s="113"/>
      <c r="AH471" s="113"/>
      <c r="AI471" s="113"/>
      <c r="AJ471" s="113"/>
      <c r="AK471" s="113"/>
      <c r="AL471" s="113"/>
      <c r="AM471" s="113"/>
      <c r="AN471" s="113"/>
      <c r="AO471" s="113"/>
      <c r="AP471" s="113"/>
      <c r="AQ471" s="113"/>
      <c r="AR471" s="113"/>
      <c r="AS471" s="113"/>
      <c r="AT471" s="113"/>
      <c r="AU471" s="113"/>
      <c r="AV471" s="113"/>
      <c r="AW471" s="113"/>
      <c r="AX471" s="113"/>
      <c r="AY471" s="113"/>
      <c r="AZ471" s="113"/>
      <c r="BA471" s="113"/>
      <c r="BB471" s="113"/>
      <c r="BC471" s="113"/>
      <c r="BD471" s="113"/>
      <c r="BE471" s="113"/>
      <c r="BF471" s="113"/>
      <c r="BG471" s="113"/>
      <c r="BH471" s="113"/>
      <c r="BI471" s="113"/>
      <c r="BJ471" s="113"/>
      <c r="BK471" s="113"/>
      <c r="BL471" s="113"/>
      <c r="BM471" s="113"/>
      <c r="BN471" s="113"/>
      <c r="BO471" s="113"/>
      <c r="BP471" s="113"/>
      <c r="BQ471" s="113"/>
      <c r="BR471" s="113"/>
      <c r="BS471" s="113"/>
      <c r="BT471" s="113"/>
      <c r="BU471" s="113"/>
      <c r="BV471" s="113"/>
      <c r="BW471" s="113"/>
      <c r="BX471" s="113"/>
      <c r="BY471" s="113"/>
      <c r="BZ471" s="113"/>
      <c r="CA471" s="113"/>
      <c r="CB471" s="113"/>
    </row>
    <row r="472" spans="5:80" x14ac:dyDescent="0.25">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c r="AC472" s="113"/>
      <c r="AD472" s="113"/>
      <c r="AE472" s="113"/>
      <c r="AF472" s="113"/>
      <c r="AG472" s="113"/>
      <c r="AH472" s="113"/>
      <c r="AI472" s="113"/>
      <c r="AJ472" s="113"/>
      <c r="AK472" s="113"/>
      <c r="AL472" s="113"/>
      <c r="AM472" s="113"/>
      <c r="AN472" s="113"/>
      <c r="AO472" s="113"/>
      <c r="AP472" s="113"/>
      <c r="AQ472" s="113"/>
      <c r="AR472" s="113"/>
      <c r="AS472" s="113"/>
      <c r="AT472" s="113"/>
      <c r="AU472" s="113"/>
      <c r="AV472" s="113"/>
      <c r="AW472" s="113"/>
      <c r="AX472" s="113"/>
      <c r="AY472" s="113"/>
      <c r="AZ472" s="113"/>
      <c r="BA472" s="113"/>
      <c r="BB472" s="113"/>
      <c r="BC472" s="113"/>
      <c r="BD472" s="113"/>
      <c r="BE472" s="113"/>
      <c r="BF472" s="113"/>
      <c r="BG472" s="113"/>
      <c r="BH472" s="113"/>
      <c r="BI472" s="113"/>
      <c r="BJ472" s="113"/>
      <c r="BK472" s="113"/>
      <c r="BL472" s="113"/>
      <c r="BM472" s="113"/>
      <c r="BN472" s="113"/>
      <c r="BO472" s="113"/>
      <c r="BP472" s="113"/>
      <c r="BQ472" s="113"/>
      <c r="BR472" s="113"/>
      <c r="BS472" s="113"/>
      <c r="BT472" s="113"/>
      <c r="BU472" s="113"/>
      <c r="BV472" s="113"/>
      <c r="BW472" s="113"/>
      <c r="BX472" s="113"/>
      <c r="BY472" s="113"/>
      <c r="BZ472" s="113"/>
      <c r="CA472" s="113"/>
      <c r="CB472" s="113"/>
    </row>
    <row r="473" spans="5:80" x14ac:dyDescent="0.25">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c r="AC473" s="113"/>
      <c r="AD473" s="113"/>
      <c r="AE473" s="113"/>
      <c r="AF473" s="113"/>
      <c r="AG473" s="113"/>
      <c r="AH473" s="113"/>
      <c r="AI473" s="113"/>
      <c r="AJ473" s="113"/>
      <c r="AK473" s="113"/>
      <c r="AL473" s="113"/>
      <c r="AM473" s="113"/>
      <c r="AN473" s="113"/>
      <c r="AO473" s="113"/>
      <c r="AP473" s="113"/>
      <c r="AQ473" s="113"/>
      <c r="AR473" s="113"/>
      <c r="AS473" s="113"/>
      <c r="AT473" s="113"/>
      <c r="AU473" s="113"/>
      <c r="AV473" s="113"/>
      <c r="AW473" s="113"/>
      <c r="AX473" s="113"/>
      <c r="AY473" s="113"/>
      <c r="AZ473" s="113"/>
      <c r="BA473" s="113"/>
      <c r="BB473" s="113"/>
      <c r="BC473" s="113"/>
      <c r="BD473" s="113"/>
      <c r="BE473" s="113"/>
      <c r="BF473" s="113"/>
      <c r="BG473" s="113"/>
      <c r="BH473" s="113"/>
      <c r="BI473" s="113"/>
      <c r="BJ473" s="113"/>
      <c r="BK473" s="113"/>
      <c r="BL473" s="113"/>
      <c r="BM473" s="113"/>
      <c r="BN473" s="113"/>
      <c r="BO473" s="113"/>
      <c r="BP473" s="113"/>
      <c r="BQ473" s="113"/>
      <c r="BR473" s="113"/>
      <c r="BS473" s="113"/>
      <c r="BT473" s="113"/>
      <c r="BU473" s="113"/>
      <c r="BV473" s="113"/>
      <c r="BW473" s="113"/>
      <c r="BX473" s="113"/>
      <c r="BY473" s="113"/>
      <c r="BZ473" s="113"/>
      <c r="CA473" s="113"/>
      <c r="CB473" s="113"/>
    </row>
    <row r="474" spans="5:80" x14ac:dyDescent="0.25">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c r="AC474" s="113"/>
      <c r="AD474" s="113"/>
      <c r="AE474" s="113"/>
      <c r="AF474" s="113"/>
      <c r="AG474" s="113"/>
      <c r="AH474" s="113"/>
      <c r="AI474" s="113"/>
      <c r="AJ474" s="113"/>
      <c r="AK474" s="113"/>
      <c r="AL474" s="113"/>
      <c r="AM474" s="113"/>
      <c r="AN474" s="113"/>
      <c r="AO474" s="113"/>
      <c r="AP474" s="113"/>
      <c r="AQ474" s="113"/>
      <c r="AR474" s="113"/>
      <c r="AS474" s="113"/>
      <c r="AT474" s="113"/>
      <c r="AU474" s="113"/>
      <c r="AV474" s="113"/>
      <c r="AW474" s="113"/>
      <c r="AX474" s="113"/>
      <c r="AY474" s="113"/>
      <c r="AZ474" s="113"/>
      <c r="BA474" s="113"/>
      <c r="BB474" s="113"/>
      <c r="BC474" s="113"/>
      <c r="BD474" s="113"/>
      <c r="BE474" s="113"/>
      <c r="BF474" s="113"/>
      <c r="BG474" s="113"/>
      <c r="BH474" s="113"/>
      <c r="BI474" s="113"/>
      <c r="BJ474" s="113"/>
      <c r="BK474" s="113"/>
      <c r="BL474" s="113"/>
      <c r="BM474" s="113"/>
      <c r="BN474" s="113"/>
      <c r="BO474" s="113"/>
      <c r="BP474" s="113"/>
      <c r="BQ474" s="113"/>
      <c r="BR474" s="113"/>
      <c r="BS474" s="113"/>
      <c r="BT474" s="113"/>
      <c r="BU474" s="113"/>
      <c r="BV474" s="113"/>
      <c r="BW474" s="113"/>
      <c r="BX474" s="113"/>
      <c r="BY474" s="113"/>
      <c r="BZ474" s="113"/>
      <c r="CA474" s="113"/>
      <c r="CB474" s="113"/>
    </row>
    <row r="475" spans="5:80" x14ac:dyDescent="0.25">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3"/>
      <c r="AY475" s="113"/>
      <c r="AZ475" s="113"/>
      <c r="BA475" s="113"/>
      <c r="BB475" s="113"/>
      <c r="BC475" s="113"/>
      <c r="BD475" s="113"/>
      <c r="BE475" s="113"/>
      <c r="BF475" s="113"/>
      <c r="BG475" s="113"/>
      <c r="BH475" s="113"/>
      <c r="BI475" s="113"/>
      <c r="BJ475" s="113"/>
      <c r="BK475" s="113"/>
      <c r="BL475" s="113"/>
      <c r="BM475" s="113"/>
      <c r="BN475" s="113"/>
      <c r="BO475" s="113"/>
      <c r="BP475" s="113"/>
      <c r="BQ475" s="113"/>
      <c r="BR475" s="113"/>
      <c r="BS475" s="113"/>
      <c r="BT475" s="113"/>
      <c r="BU475" s="113"/>
      <c r="BV475" s="113"/>
      <c r="BW475" s="113"/>
      <c r="BX475" s="113"/>
      <c r="BY475" s="113"/>
      <c r="BZ475" s="113"/>
      <c r="CA475" s="113"/>
      <c r="CB475" s="113"/>
    </row>
    <row r="476" spans="5:80" x14ac:dyDescent="0.25">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c r="AC476" s="113"/>
      <c r="AD476" s="113"/>
      <c r="AE476" s="113"/>
      <c r="AF476" s="113"/>
      <c r="AG476" s="113"/>
      <c r="AH476" s="113"/>
      <c r="AI476" s="113"/>
      <c r="AJ476" s="113"/>
      <c r="AK476" s="113"/>
      <c r="AL476" s="113"/>
      <c r="AM476" s="113"/>
      <c r="AN476" s="113"/>
      <c r="AO476" s="113"/>
      <c r="AP476" s="113"/>
      <c r="AQ476" s="113"/>
      <c r="AR476" s="113"/>
      <c r="AS476" s="113"/>
      <c r="AT476" s="113"/>
      <c r="AU476" s="113"/>
      <c r="AV476" s="113"/>
      <c r="AW476" s="113"/>
      <c r="AX476" s="113"/>
      <c r="AY476" s="113"/>
      <c r="AZ476" s="113"/>
      <c r="BA476" s="113"/>
      <c r="BB476" s="113"/>
      <c r="BC476" s="113"/>
      <c r="BD476" s="113"/>
      <c r="BE476" s="113"/>
      <c r="BF476" s="113"/>
      <c r="BG476" s="113"/>
      <c r="BH476" s="113"/>
      <c r="BI476" s="113"/>
      <c r="BJ476" s="113"/>
      <c r="BK476" s="113"/>
      <c r="BL476" s="113"/>
      <c r="BM476" s="113"/>
      <c r="BN476" s="113"/>
      <c r="BO476" s="113"/>
      <c r="BP476" s="113"/>
      <c r="BQ476" s="113"/>
      <c r="BR476" s="113"/>
      <c r="BS476" s="113"/>
      <c r="BT476" s="113"/>
      <c r="BU476" s="113"/>
      <c r="BV476" s="113"/>
      <c r="BW476" s="113"/>
      <c r="BX476" s="113"/>
      <c r="BY476" s="113"/>
      <c r="BZ476" s="113"/>
      <c r="CA476" s="113"/>
      <c r="CB476" s="113"/>
    </row>
    <row r="477" spans="5:80" x14ac:dyDescent="0.25">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3"/>
      <c r="AY477" s="113"/>
      <c r="AZ477" s="113"/>
      <c r="BA477" s="113"/>
      <c r="BB477" s="113"/>
      <c r="BC477" s="113"/>
      <c r="BD477" s="113"/>
      <c r="BE477" s="113"/>
      <c r="BF477" s="113"/>
      <c r="BG477" s="113"/>
      <c r="BH477" s="113"/>
      <c r="BI477" s="113"/>
      <c r="BJ477" s="113"/>
      <c r="BK477" s="113"/>
      <c r="BL477" s="113"/>
      <c r="BM477" s="113"/>
      <c r="BN477" s="113"/>
      <c r="BO477" s="113"/>
      <c r="BP477" s="113"/>
      <c r="BQ477" s="113"/>
      <c r="BR477" s="113"/>
      <c r="BS477" s="113"/>
      <c r="BT477" s="113"/>
      <c r="BU477" s="113"/>
      <c r="BV477" s="113"/>
      <c r="BW477" s="113"/>
      <c r="BX477" s="113"/>
      <c r="BY477" s="113"/>
      <c r="BZ477" s="113"/>
      <c r="CA477" s="113"/>
      <c r="CB477" s="113"/>
    </row>
    <row r="478" spans="5:80" x14ac:dyDescent="0.25">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c r="AC478" s="113"/>
      <c r="AD478" s="113"/>
      <c r="AE478" s="113"/>
      <c r="AF478" s="113"/>
      <c r="AG478" s="113"/>
      <c r="AH478" s="113"/>
      <c r="AI478" s="113"/>
      <c r="AJ478" s="113"/>
      <c r="AK478" s="113"/>
      <c r="AL478" s="113"/>
      <c r="AM478" s="113"/>
      <c r="AN478" s="113"/>
      <c r="AO478" s="113"/>
      <c r="AP478" s="113"/>
      <c r="AQ478" s="113"/>
      <c r="AR478" s="113"/>
      <c r="AS478" s="113"/>
      <c r="AT478" s="113"/>
      <c r="AU478" s="113"/>
      <c r="AV478" s="113"/>
      <c r="AW478" s="113"/>
      <c r="AX478" s="113"/>
      <c r="AY478" s="113"/>
      <c r="AZ478" s="113"/>
      <c r="BA478" s="113"/>
      <c r="BB478" s="113"/>
      <c r="BC478" s="113"/>
      <c r="BD478" s="113"/>
      <c r="BE478" s="113"/>
      <c r="BF478" s="113"/>
      <c r="BG478" s="113"/>
      <c r="BH478" s="113"/>
      <c r="BI478" s="113"/>
      <c r="BJ478" s="113"/>
      <c r="BK478" s="113"/>
      <c r="BL478" s="113"/>
      <c r="BM478" s="113"/>
      <c r="BN478" s="113"/>
      <c r="BO478" s="113"/>
      <c r="BP478" s="113"/>
      <c r="BQ478" s="113"/>
      <c r="BR478" s="113"/>
      <c r="BS478" s="113"/>
      <c r="BT478" s="113"/>
      <c r="BU478" s="113"/>
      <c r="BV478" s="113"/>
      <c r="BW478" s="113"/>
      <c r="BX478" s="113"/>
      <c r="BY478" s="113"/>
      <c r="BZ478" s="113"/>
      <c r="CA478" s="113"/>
      <c r="CB478" s="113"/>
    </row>
    <row r="479" spans="5:80" x14ac:dyDescent="0.25">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c r="AC479" s="113"/>
      <c r="AD479" s="113"/>
      <c r="AE479" s="113"/>
      <c r="AF479" s="113"/>
      <c r="AG479" s="113"/>
      <c r="AH479" s="113"/>
      <c r="AI479" s="113"/>
      <c r="AJ479" s="113"/>
      <c r="AK479" s="113"/>
      <c r="AL479" s="113"/>
      <c r="AM479" s="113"/>
      <c r="AN479" s="113"/>
      <c r="AO479" s="113"/>
      <c r="AP479" s="113"/>
      <c r="AQ479" s="113"/>
      <c r="AR479" s="113"/>
      <c r="AS479" s="113"/>
      <c r="AT479" s="113"/>
      <c r="AU479" s="113"/>
      <c r="AV479" s="113"/>
      <c r="AW479" s="113"/>
      <c r="AX479" s="113"/>
      <c r="AY479" s="113"/>
      <c r="AZ479" s="113"/>
      <c r="BA479" s="113"/>
      <c r="BB479" s="113"/>
      <c r="BC479" s="113"/>
      <c r="BD479" s="113"/>
      <c r="BE479" s="113"/>
      <c r="BF479" s="113"/>
      <c r="BG479" s="113"/>
      <c r="BH479" s="113"/>
      <c r="BI479" s="113"/>
      <c r="BJ479" s="113"/>
      <c r="BK479" s="113"/>
      <c r="BL479" s="113"/>
      <c r="BM479" s="113"/>
      <c r="BN479" s="113"/>
      <c r="BO479" s="113"/>
      <c r="BP479" s="113"/>
      <c r="BQ479" s="113"/>
      <c r="BR479" s="113"/>
      <c r="BS479" s="113"/>
      <c r="BT479" s="113"/>
      <c r="BU479" s="113"/>
      <c r="BV479" s="113"/>
      <c r="BW479" s="113"/>
      <c r="BX479" s="113"/>
      <c r="BY479" s="113"/>
      <c r="BZ479" s="113"/>
      <c r="CA479" s="113"/>
      <c r="CB479" s="113"/>
    </row>
    <row r="480" spans="5:80" x14ac:dyDescent="0.25">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c r="AC480" s="113"/>
      <c r="AD480" s="113"/>
      <c r="AE480" s="113"/>
      <c r="AF480" s="113"/>
      <c r="AG480" s="113"/>
      <c r="AH480" s="113"/>
      <c r="AI480" s="113"/>
      <c r="AJ480" s="113"/>
      <c r="AK480" s="113"/>
      <c r="AL480" s="113"/>
      <c r="AM480" s="113"/>
      <c r="AN480" s="113"/>
      <c r="AO480" s="113"/>
      <c r="AP480" s="113"/>
      <c r="AQ480" s="113"/>
      <c r="AR480" s="113"/>
      <c r="AS480" s="113"/>
      <c r="AT480" s="113"/>
      <c r="AU480" s="113"/>
      <c r="AV480" s="113"/>
      <c r="AW480" s="113"/>
      <c r="AX480" s="113"/>
      <c r="AY480" s="113"/>
      <c r="AZ480" s="113"/>
      <c r="BA480" s="113"/>
      <c r="BB480" s="113"/>
      <c r="BC480" s="113"/>
      <c r="BD480" s="113"/>
      <c r="BE480" s="113"/>
      <c r="BF480" s="113"/>
      <c r="BG480" s="113"/>
      <c r="BH480" s="113"/>
      <c r="BI480" s="113"/>
      <c r="BJ480" s="113"/>
      <c r="BK480" s="113"/>
      <c r="BL480" s="113"/>
      <c r="BM480" s="113"/>
      <c r="BN480" s="113"/>
      <c r="BO480" s="113"/>
      <c r="BP480" s="113"/>
      <c r="BQ480" s="113"/>
      <c r="BR480" s="113"/>
      <c r="BS480" s="113"/>
      <c r="BT480" s="113"/>
      <c r="BU480" s="113"/>
      <c r="BV480" s="113"/>
      <c r="BW480" s="113"/>
      <c r="BX480" s="113"/>
      <c r="BY480" s="113"/>
      <c r="BZ480" s="113"/>
      <c r="CA480" s="113"/>
      <c r="CB480" s="113"/>
    </row>
    <row r="481" spans="5:80" x14ac:dyDescent="0.25">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3"/>
      <c r="AY481" s="113"/>
      <c r="AZ481" s="113"/>
      <c r="BA481" s="113"/>
      <c r="BB481" s="113"/>
      <c r="BC481" s="113"/>
      <c r="BD481" s="113"/>
      <c r="BE481" s="113"/>
      <c r="BF481" s="113"/>
      <c r="BG481" s="113"/>
      <c r="BH481" s="113"/>
      <c r="BI481" s="113"/>
      <c r="BJ481" s="113"/>
      <c r="BK481" s="113"/>
      <c r="BL481" s="113"/>
      <c r="BM481" s="113"/>
      <c r="BN481" s="113"/>
      <c r="BO481" s="113"/>
      <c r="BP481" s="113"/>
      <c r="BQ481" s="113"/>
      <c r="BR481" s="113"/>
      <c r="BS481" s="113"/>
      <c r="BT481" s="113"/>
      <c r="BU481" s="113"/>
      <c r="BV481" s="113"/>
      <c r="BW481" s="113"/>
      <c r="BX481" s="113"/>
      <c r="BY481" s="113"/>
      <c r="BZ481" s="113"/>
      <c r="CA481" s="113"/>
      <c r="CB481" s="113"/>
    </row>
    <row r="482" spans="5:80" x14ac:dyDescent="0.25">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c r="AC482" s="113"/>
      <c r="AD482" s="113"/>
      <c r="AE482" s="113"/>
      <c r="AF482" s="113"/>
      <c r="AG482" s="113"/>
      <c r="AH482" s="113"/>
      <c r="AI482" s="113"/>
      <c r="AJ482" s="113"/>
      <c r="AK482" s="113"/>
      <c r="AL482" s="113"/>
      <c r="AM482" s="113"/>
      <c r="AN482" s="113"/>
      <c r="AO482" s="113"/>
      <c r="AP482" s="113"/>
      <c r="AQ482" s="113"/>
      <c r="AR482" s="113"/>
      <c r="AS482" s="113"/>
      <c r="AT482" s="113"/>
      <c r="AU482" s="113"/>
      <c r="AV482" s="113"/>
      <c r="AW482" s="113"/>
      <c r="AX482" s="113"/>
      <c r="AY482" s="113"/>
      <c r="AZ482" s="113"/>
      <c r="BA482" s="113"/>
      <c r="BB482" s="113"/>
      <c r="BC482" s="113"/>
      <c r="BD482" s="113"/>
      <c r="BE482" s="113"/>
      <c r="BF482" s="113"/>
      <c r="BG482" s="113"/>
      <c r="BH482" s="113"/>
      <c r="BI482" s="113"/>
      <c r="BJ482" s="113"/>
      <c r="BK482" s="113"/>
      <c r="BL482" s="113"/>
      <c r="BM482" s="113"/>
      <c r="BN482" s="113"/>
      <c r="BO482" s="113"/>
      <c r="BP482" s="113"/>
      <c r="BQ482" s="113"/>
      <c r="BR482" s="113"/>
      <c r="BS482" s="113"/>
      <c r="BT482" s="113"/>
      <c r="BU482" s="113"/>
      <c r="BV482" s="113"/>
      <c r="BW482" s="113"/>
      <c r="BX482" s="113"/>
      <c r="BY482" s="113"/>
      <c r="BZ482" s="113"/>
      <c r="CA482" s="113"/>
      <c r="CB482" s="113"/>
    </row>
    <row r="483" spans="5:80" x14ac:dyDescent="0.25">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c r="AC483" s="113"/>
      <c r="AD483" s="113"/>
      <c r="AE483" s="113"/>
      <c r="AF483" s="113"/>
      <c r="AG483" s="113"/>
      <c r="AH483" s="113"/>
      <c r="AI483" s="113"/>
      <c r="AJ483" s="113"/>
      <c r="AK483" s="113"/>
      <c r="AL483" s="113"/>
      <c r="AM483" s="113"/>
      <c r="AN483" s="113"/>
      <c r="AO483" s="113"/>
      <c r="AP483" s="113"/>
      <c r="AQ483" s="113"/>
      <c r="AR483" s="113"/>
      <c r="AS483" s="113"/>
      <c r="AT483" s="113"/>
      <c r="AU483" s="113"/>
      <c r="AV483" s="113"/>
      <c r="AW483" s="113"/>
      <c r="AX483" s="113"/>
      <c r="AY483" s="113"/>
      <c r="AZ483" s="113"/>
      <c r="BA483" s="113"/>
      <c r="BB483" s="113"/>
      <c r="BC483" s="113"/>
      <c r="BD483" s="113"/>
      <c r="BE483" s="113"/>
      <c r="BF483" s="113"/>
      <c r="BG483" s="113"/>
      <c r="BH483" s="113"/>
      <c r="BI483" s="113"/>
      <c r="BJ483" s="113"/>
      <c r="BK483" s="113"/>
      <c r="BL483" s="113"/>
      <c r="BM483" s="113"/>
      <c r="BN483" s="113"/>
      <c r="BO483" s="113"/>
      <c r="BP483" s="113"/>
      <c r="BQ483" s="113"/>
      <c r="BR483" s="113"/>
      <c r="BS483" s="113"/>
      <c r="BT483" s="113"/>
      <c r="BU483" s="113"/>
      <c r="BV483" s="113"/>
      <c r="BW483" s="113"/>
      <c r="BX483" s="113"/>
      <c r="BY483" s="113"/>
      <c r="BZ483" s="113"/>
      <c r="CA483" s="113"/>
      <c r="CB483" s="113"/>
    </row>
    <row r="484" spans="5:80" x14ac:dyDescent="0.25">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c r="AC484" s="113"/>
      <c r="AD484" s="113"/>
      <c r="AE484" s="113"/>
      <c r="AF484" s="113"/>
      <c r="AG484" s="113"/>
      <c r="AH484" s="113"/>
      <c r="AI484" s="113"/>
      <c r="AJ484" s="113"/>
      <c r="AK484" s="113"/>
      <c r="AL484" s="113"/>
      <c r="AM484" s="113"/>
      <c r="AN484" s="113"/>
      <c r="AO484" s="113"/>
      <c r="AP484" s="113"/>
      <c r="AQ484" s="113"/>
      <c r="AR484" s="113"/>
      <c r="AS484" s="113"/>
      <c r="AT484" s="113"/>
      <c r="AU484" s="113"/>
      <c r="AV484" s="113"/>
      <c r="AW484" s="113"/>
      <c r="AX484" s="113"/>
      <c r="AY484" s="113"/>
      <c r="AZ484" s="113"/>
      <c r="BA484" s="113"/>
      <c r="BB484" s="113"/>
      <c r="BC484" s="113"/>
      <c r="BD484" s="113"/>
      <c r="BE484" s="113"/>
      <c r="BF484" s="113"/>
      <c r="BG484" s="113"/>
      <c r="BH484" s="113"/>
      <c r="BI484" s="113"/>
      <c r="BJ484" s="113"/>
      <c r="BK484" s="113"/>
      <c r="BL484" s="113"/>
      <c r="BM484" s="113"/>
      <c r="BN484" s="113"/>
      <c r="BO484" s="113"/>
      <c r="BP484" s="113"/>
      <c r="BQ484" s="113"/>
      <c r="BR484" s="113"/>
      <c r="BS484" s="113"/>
      <c r="BT484" s="113"/>
      <c r="BU484" s="113"/>
      <c r="BV484" s="113"/>
      <c r="BW484" s="113"/>
      <c r="BX484" s="113"/>
      <c r="BY484" s="113"/>
      <c r="BZ484" s="113"/>
      <c r="CA484" s="113"/>
      <c r="CB484" s="113"/>
    </row>
    <row r="485" spans="5:80" x14ac:dyDescent="0.25">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c r="AC485" s="113"/>
      <c r="AD485" s="113"/>
      <c r="AE485" s="113"/>
      <c r="AF485" s="113"/>
      <c r="AG485" s="113"/>
      <c r="AH485" s="113"/>
      <c r="AI485" s="113"/>
      <c r="AJ485" s="113"/>
      <c r="AK485" s="113"/>
      <c r="AL485" s="113"/>
      <c r="AM485" s="113"/>
      <c r="AN485" s="113"/>
      <c r="AO485" s="113"/>
      <c r="AP485" s="113"/>
      <c r="AQ485" s="113"/>
      <c r="AR485" s="113"/>
      <c r="AS485" s="113"/>
      <c r="AT485" s="113"/>
      <c r="AU485" s="113"/>
      <c r="AV485" s="113"/>
      <c r="AW485" s="113"/>
      <c r="AX485" s="113"/>
      <c r="AY485" s="113"/>
      <c r="AZ485" s="113"/>
      <c r="BA485" s="113"/>
      <c r="BB485" s="113"/>
      <c r="BC485" s="113"/>
      <c r="BD485" s="113"/>
      <c r="BE485" s="113"/>
      <c r="BF485" s="113"/>
      <c r="BG485" s="113"/>
      <c r="BH485" s="113"/>
      <c r="BI485" s="113"/>
      <c r="BJ485" s="113"/>
      <c r="BK485" s="113"/>
      <c r="BL485" s="113"/>
      <c r="BM485" s="113"/>
      <c r="BN485" s="113"/>
      <c r="BO485" s="113"/>
      <c r="BP485" s="113"/>
      <c r="BQ485" s="113"/>
      <c r="BR485" s="113"/>
      <c r="BS485" s="113"/>
      <c r="BT485" s="113"/>
      <c r="BU485" s="113"/>
      <c r="BV485" s="113"/>
      <c r="BW485" s="113"/>
      <c r="BX485" s="113"/>
      <c r="BY485" s="113"/>
      <c r="BZ485" s="113"/>
      <c r="CA485" s="113"/>
      <c r="CB485" s="113"/>
    </row>
    <row r="486" spans="5:80" x14ac:dyDescent="0.25">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c r="AC486" s="113"/>
      <c r="AD486" s="113"/>
      <c r="AE486" s="113"/>
      <c r="AF486" s="113"/>
      <c r="AG486" s="113"/>
      <c r="AH486" s="113"/>
      <c r="AI486" s="113"/>
      <c r="AJ486" s="113"/>
      <c r="AK486" s="113"/>
      <c r="AL486" s="113"/>
      <c r="AM486" s="113"/>
      <c r="AN486" s="113"/>
      <c r="AO486" s="113"/>
      <c r="AP486" s="113"/>
      <c r="AQ486" s="113"/>
      <c r="AR486" s="113"/>
      <c r="AS486" s="113"/>
      <c r="AT486" s="113"/>
      <c r="AU486" s="113"/>
      <c r="AV486" s="113"/>
      <c r="AW486" s="113"/>
      <c r="AX486" s="113"/>
      <c r="AY486" s="113"/>
      <c r="AZ486" s="113"/>
      <c r="BA486" s="113"/>
      <c r="BB486" s="113"/>
      <c r="BC486" s="113"/>
      <c r="BD486" s="113"/>
      <c r="BE486" s="113"/>
      <c r="BF486" s="113"/>
      <c r="BG486" s="113"/>
      <c r="BH486" s="113"/>
      <c r="BI486" s="113"/>
      <c r="BJ486" s="113"/>
      <c r="BK486" s="113"/>
      <c r="BL486" s="113"/>
      <c r="BM486" s="113"/>
      <c r="BN486" s="113"/>
      <c r="BO486" s="113"/>
      <c r="BP486" s="113"/>
      <c r="BQ486" s="113"/>
      <c r="BR486" s="113"/>
      <c r="BS486" s="113"/>
      <c r="BT486" s="113"/>
      <c r="BU486" s="113"/>
      <c r="BV486" s="113"/>
      <c r="BW486" s="113"/>
      <c r="BX486" s="113"/>
      <c r="BY486" s="113"/>
      <c r="BZ486" s="113"/>
      <c r="CA486" s="113"/>
      <c r="CB486" s="113"/>
    </row>
    <row r="487" spans="5:80" x14ac:dyDescent="0.25">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3"/>
      <c r="AY487" s="113"/>
      <c r="AZ487" s="113"/>
      <c r="BA487" s="113"/>
      <c r="BB487" s="113"/>
      <c r="BC487" s="113"/>
      <c r="BD487" s="113"/>
      <c r="BE487" s="113"/>
      <c r="BF487" s="113"/>
      <c r="BG487" s="113"/>
      <c r="BH487" s="113"/>
      <c r="BI487" s="113"/>
      <c r="BJ487" s="113"/>
      <c r="BK487" s="113"/>
      <c r="BL487" s="113"/>
      <c r="BM487" s="113"/>
      <c r="BN487" s="113"/>
      <c r="BO487" s="113"/>
      <c r="BP487" s="113"/>
      <c r="BQ487" s="113"/>
      <c r="BR487" s="113"/>
      <c r="BS487" s="113"/>
      <c r="BT487" s="113"/>
      <c r="BU487" s="113"/>
      <c r="BV487" s="113"/>
      <c r="BW487" s="113"/>
      <c r="BX487" s="113"/>
      <c r="BY487" s="113"/>
      <c r="BZ487" s="113"/>
      <c r="CA487" s="113"/>
      <c r="CB487" s="113"/>
    </row>
    <row r="488" spans="5:80" x14ac:dyDescent="0.25">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c r="AC488" s="113"/>
      <c r="AD488" s="113"/>
      <c r="AE488" s="113"/>
      <c r="AF488" s="113"/>
      <c r="AG488" s="113"/>
      <c r="AH488" s="113"/>
      <c r="AI488" s="113"/>
      <c r="AJ488" s="113"/>
      <c r="AK488" s="113"/>
      <c r="AL488" s="113"/>
      <c r="AM488" s="113"/>
      <c r="AN488" s="113"/>
      <c r="AO488" s="113"/>
      <c r="AP488" s="113"/>
      <c r="AQ488" s="113"/>
      <c r="AR488" s="113"/>
      <c r="AS488" s="113"/>
      <c r="AT488" s="113"/>
      <c r="AU488" s="113"/>
      <c r="AV488" s="113"/>
      <c r="AW488" s="113"/>
      <c r="AX488" s="113"/>
      <c r="AY488" s="113"/>
      <c r="AZ488" s="113"/>
      <c r="BA488" s="113"/>
      <c r="BB488" s="113"/>
      <c r="BC488" s="113"/>
      <c r="BD488" s="113"/>
      <c r="BE488" s="113"/>
      <c r="BF488" s="113"/>
      <c r="BG488" s="113"/>
      <c r="BH488" s="113"/>
      <c r="BI488" s="113"/>
      <c r="BJ488" s="113"/>
      <c r="BK488" s="113"/>
      <c r="BL488" s="113"/>
      <c r="BM488" s="113"/>
      <c r="BN488" s="113"/>
      <c r="BO488" s="113"/>
      <c r="BP488" s="113"/>
      <c r="BQ488" s="113"/>
      <c r="BR488" s="113"/>
      <c r="BS488" s="113"/>
      <c r="BT488" s="113"/>
      <c r="BU488" s="113"/>
      <c r="BV488" s="113"/>
      <c r="BW488" s="113"/>
      <c r="BX488" s="113"/>
      <c r="BY488" s="113"/>
      <c r="BZ488" s="113"/>
      <c r="CA488" s="113"/>
      <c r="CB488" s="113"/>
    </row>
    <row r="489" spans="5:80" x14ac:dyDescent="0.25">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3"/>
      <c r="AY489" s="113"/>
      <c r="AZ489" s="113"/>
      <c r="BA489" s="113"/>
      <c r="BB489" s="113"/>
      <c r="BC489" s="113"/>
      <c r="BD489" s="113"/>
      <c r="BE489" s="113"/>
      <c r="BF489" s="113"/>
      <c r="BG489" s="113"/>
      <c r="BH489" s="113"/>
      <c r="BI489" s="113"/>
      <c r="BJ489" s="113"/>
      <c r="BK489" s="113"/>
      <c r="BL489" s="113"/>
      <c r="BM489" s="113"/>
      <c r="BN489" s="113"/>
      <c r="BO489" s="113"/>
      <c r="BP489" s="113"/>
      <c r="BQ489" s="113"/>
      <c r="BR489" s="113"/>
      <c r="BS489" s="113"/>
      <c r="BT489" s="113"/>
      <c r="BU489" s="113"/>
      <c r="BV489" s="113"/>
      <c r="BW489" s="113"/>
      <c r="BX489" s="113"/>
      <c r="BY489" s="113"/>
      <c r="BZ489" s="113"/>
      <c r="CA489" s="113"/>
      <c r="CB489" s="113"/>
    </row>
    <row r="490" spans="5:80" x14ac:dyDescent="0.25">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c r="AC490" s="113"/>
      <c r="AD490" s="113"/>
      <c r="AE490" s="113"/>
      <c r="AF490" s="113"/>
      <c r="AG490" s="113"/>
      <c r="AH490" s="113"/>
      <c r="AI490" s="113"/>
      <c r="AJ490" s="113"/>
      <c r="AK490" s="113"/>
      <c r="AL490" s="113"/>
      <c r="AM490" s="113"/>
      <c r="AN490" s="113"/>
      <c r="AO490" s="113"/>
      <c r="AP490" s="113"/>
      <c r="AQ490" s="113"/>
      <c r="AR490" s="113"/>
      <c r="AS490" s="113"/>
      <c r="AT490" s="113"/>
      <c r="AU490" s="113"/>
      <c r="AV490" s="113"/>
      <c r="AW490" s="113"/>
      <c r="AX490" s="113"/>
      <c r="AY490" s="113"/>
      <c r="AZ490" s="113"/>
      <c r="BA490" s="113"/>
      <c r="BB490" s="113"/>
      <c r="BC490" s="113"/>
      <c r="BD490" s="113"/>
      <c r="BE490" s="113"/>
      <c r="BF490" s="113"/>
      <c r="BG490" s="113"/>
      <c r="BH490" s="113"/>
      <c r="BI490" s="113"/>
      <c r="BJ490" s="113"/>
      <c r="BK490" s="113"/>
      <c r="BL490" s="113"/>
      <c r="BM490" s="113"/>
      <c r="BN490" s="113"/>
      <c r="BO490" s="113"/>
      <c r="BP490" s="113"/>
      <c r="BQ490" s="113"/>
      <c r="BR490" s="113"/>
      <c r="BS490" s="113"/>
      <c r="BT490" s="113"/>
      <c r="BU490" s="113"/>
      <c r="BV490" s="113"/>
      <c r="BW490" s="113"/>
      <c r="BX490" s="113"/>
      <c r="BY490" s="113"/>
      <c r="BZ490" s="113"/>
      <c r="CA490" s="113"/>
      <c r="CB490" s="113"/>
    </row>
    <row r="491" spans="5:80" x14ac:dyDescent="0.25">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c r="AC491" s="113"/>
      <c r="AD491" s="113"/>
      <c r="AE491" s="113"/>
      <c r="AF491" s="113"/>
      <c r="AG491" s="113"/>
      <c r="AH491" s="113"/>
      <c r="AI491" s="113"/>
      <c r="AJ491" s="113"/>
      <c r="AK491" s="113"/>
      <c r="AL491" s="113"/>
      <c r="AM491" s="113"/>
      <c r="AN491" s="113"/>
      <c r="AO491" s="113"/>
      <c r="AP491" s="113"/>
      <c r="AQ491" s="113"/>
      <c r="AR491" s="113"/>
      <c r="AS491" s="113"/>
      <c r="AT491" s="113"/>
      <c r="AU491" s="113"/>
      <c r="AV491" s="113"/>
      <c r="AW491" s="113"/>
      <c r="AX491" s="113"/>
      <c r="AY491" s="113"/>
      <c r="AZ491" s="113"/>
      <c r="BA491" s="113"/>
      <c r="BB491" s="113"/>
      <c r="BC491" s="113"/>
      <c r="BD491" s="113"/>
      <c r="BE491" s="113"/>
      <c r="BF491" s="113"/>
      <c r="BG491" s="113"/>
      <c r="BH491" s="113"/>
      <c r="BI491" s="113"/>
      <c r="BJ491" s="113"/>
      <c r="BK491" s="113"/>
      <c r="BL491" s="113"/>
      <c r="BM491" s="113"/>
      <c r="BN491" s="113"/>
      <c r="BO491" s="113"/>
      <c r="BP491" s="113"/>
      <c r="BQ491" s="113"/>
      <c r="BR491" s="113"/>
      <c r="BS491" s="113"/>
      <c r="BT491" s="113"/>
      <c r="BU491" s="113"/>
      <c r="BV491" s="113"/>
      <c r="BW491" s="113"/>
      <c r="BX491" s="113"/>
      <c r="BY491" s="113"/>
      <c r="BZ491" s="113"/>
      <c r="CA491" s="113"/>
      <c r="CB491" s="113"/>
    </row>
    <row r="492" spans="5:80" x14ac:dyDescent="0.25">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c r="AC492" s="113"/>
      <c r="AD492" s="113"/>
      <c r="AE492" s="113"/>
      <c r="AF492" s="113"/>
      <c r="AG492" s="113"/>
      <c r="AH492" s="113"/>
      <c r="AI492" s="113"/>
      <c r="AJ492" s="113"/>
      <c r="AK492" s="113"/>
      <c r="AL492" s="113"/>
      <c r="AM492" s="113"/>
      <c r="AN492" s="113"/>
      <c r="AO492" s="113"/>
      <c r="AP492" s="113"/>
      <c r="AQ492" s="113"/>
      <c r="AR492" s="113"/>
      <c r="AS492" s="113"/>
      <c r="AT492" s="113"/>
      <c r="AU492" s="113"/>
      <c r="AV492" s="113"/>
      <c r="AW492" s="113"/>
      <c r="AX492" s="113"/>
      <c r="AY492" s="113"/>
      <c r="AZ492" s="113"/>
      <c r="BA492" s="113"/>
      <c r="BB492" s="113"/>
      <c r="BC492" s="113"/>
      <c r="BD492" s="113"/>
      <c r="BE492" s="113"/>
      <c r="BF492" s="113"/>
      <c r="BG492" s="113"/>
      <c r="BH492" s="113"/>
      <c r="BI492" s="113"/>
      <c r="BJ492" s="113"/>
      <c r="BK492" s="113"/>
      <c r="BL492" s="113"/>
      <c r="BM492" s="113"/>
      <c r="BN492" s="113"/>
      <c r="BO492" s="113"/>
      <c r="BP492" s="113"/>
      <c r="BQ492" s="113"/>
      <c r="BR492" s="113"/>
      <c r="BS492" s="113"/>
      <c r="BT492" s="113"/>
      <c r="BU492" s="113"/>
      <c r="BV492" s="113"/>
      <c r="BW492" s="113"/>
      <c r="BX492" s="113"/>
      <c r="BY492" s="113"/>
      <c r="BZ492" s="113"/>
      <c r="CA492" s="113"/>
      <c r="CB492" s="113"/>
    </row>
    <row r="493" spans="5:80" x14ac:dyDescent="0.25">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3"/>
      <c r="AY493" s="113"/>
      <c r="AZ493" s="113"/>
      <c r="BA493" s="113"/>
      <c r="BB493" s="113"/>
      <c r="BC493" s="113"/>
      <c r="BD493" s="113"/>
      <c r="BE493" s="113"/>
      <c r="BF493" s="113"/>
      <c r="BG493" s="113"/>
      <c r="BH493" s="113"/>
      <c r="BI493" s="113"/>
      <c r="BJ493" s="113"/>
      <c r="BK493" s="113"/>
      <c r="BL493" s="113"/>
      <c r="BM493" s="113"/>
      <c r="BN493" s="113"/>
      <c r="BO493" s="113"/>
      <c r="BP493" s="113"/>
      <c r="BQ493" s="113"/>
      <c r="BR493" s="113"/>
      <c r="BS493" s="113"/>
      <c r="BT493" s="113"/>
      <c r="BU493" s="113"/>
      <c r="BV493" s="113"/>
      <c r="BW493" s="113"/>
      <c r="BX493" s="113"/>
      <c r="BY493" s="113"/>
      <c r="BZ493" s="113"/>
      <c r="CA493" s="113"/>
      <c r="CB493" s="113"/>
    </row>
    <row r="494" spans="5:80" x14ac:dyDescent="0.25">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c r="AC494" s="113"/>
      <c r="AD494" s="113"/>
      <c r="AE494" s="113"/>
      <c r="AF494" s="113"/>
      <c r="AG494" s="113"/>
      <c r="AH494" s="113"/>
      <c r="AI494" s="113"/>
      <c r="AJ494" s="113"/>
      <c r="AK494" s="113"/>
      <c r="AL494" s="113"/>
      <c r="AM494" s="113"/>
      <c r="AN494" s="113"/>
      <c r="AO494" s="113"/>
      <c r="AP494" s="113"/>
      <c r="AQ494" s="113"/>
      <c r="AR494" s="113"/>
      <c r="AS494" s="113"/>
      <c r="AT494" s="113"/>
      <c r="AU494" s="113"/>
      <c r="AV494" s="113"/>
      <c r="AW494" s="113"/>
      <c r="AX494" s="113"/>
      <c r="AY494" s="113"/>
      <c r="AZ494" s="113"/>
      <c r="BA494" s="113"/>
      <c r="BB494" s="113"/>
      <c r="BC494" s="113"/>
      <c r="BD494" s="113"/>
      <c r="BE494" s="113"/>
      <c r="BF494" s="113"/>
      <c r="BG494" s="113"/>
      <c r="BH494" s="113"/>
      <c r="BI494" s="113"/>
      <c r="BJ494" s="113"/>
      <c r="BK494" s="113"/>
      <c r="BL494" s="113"/>
      <c r="BM494" s="113"/>
      <c r="BN494" s="113"/>
      <c r="BO494" s="113"/>
      <c r="BP494" s="113"/>
      <c r="BQ494" s="113"/>
      <c r="BR494" s="113"/>
      <c r="BS494" s="113"/>
      <c r="BT494" s="113"/>
      <c r="BU494" s="113"/>
      <c r="BV494" s="113"/>
      <c r="BW494" s="113"/>
      <c r="BX494" s="113"/>
      <c r="BY494" s="113"/>
      <c r="BZ494" s="113"/>
      <c r="CA494" s="113"/>
      <c r="CB494" s="113"/>
    </row>
    <row r="495" spans="5:80" x14ac:dyDescent="0.25">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c r="AC495" s="113"/>
      <c r="AD495" s="113"/>
      <c r="AE495" s="113"/>
      <c r="AF495" s="113"/>
      <c r="AG495" s="113"/>
      <c r="AH495" s="113"/>
      <c r="AI495" s="113"/>
      <c r="AJ495" s="113"/>
      <c r="AK495" s="113"/>
      <c r="AL495" s="113"/>
      <c r="AM495" s="113"/>
      <c r="AN495" s="113"/>
      <c r="AO495" s="113"/>
      <c r="AP495" s="113"/>
      <c r="AQ495" s="113"/>
      <c r="AR495" s="113"/>
      <c r="AS495" s="113"/>
      <c r="AT495" s="113"/>
      <c r="AU495" s="113"/>
      <c r="AV495" s="113"/>
      <c r="AW495" s="113"/>
      <c r="AX495" s="113"/>
      <c r="AY495" s="113"/>
      <c r="AZ495" s="113"/>
      <c r="BA495" s="113"/>
      <c r="BB495" s="113"/>
      <c r="BC495" s="113"/>
      <c r="BD495" s="113"/>
      <c r="BE495" s="113"/>
      <c r="BF495" s="113"/>
      <c r="BG495" s="113"/>
      <c r="BH495" s="113"/>
      <c r="BI495" s="113"/>
      <c r="BJ495" s="113"/>
      <c r="BK495" s="113"/>
      <c r="BL495" s="113"/>
      <c r="BM495" s="113"/>
      <c r="BN495" s="113"/>
      <c r="BO495" s="113"/>
      <c r="BP495" s="113"/>
      <c r="BQ495" s="113"/>
      <c r="BR495" s="113"/>
      <c r="BS495" s="113"/>
      <c r="BT495" s="113"/>
      <c r="BU495" s="113"/>
      <c r="BV495" s="113"/>
      <c r="BW495" s="113"/>
      <c r="BX495" s="113"/>
      <c r="BY495" s="113"/>
      <c r="BZ495" s="113"/>
      <c r="CA495" s="113"/>
      <c r="CB495" s="113"/>
    </row>
    <row r="496" spans="5:80" x14ac:dyDescent="0.25">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c r="AC496" s="113"/>
      <c r="AD496" s="113"/>
      <c r="AE496" s="113"/>
      <c r="AF496" s="113"/>
      <c r="AG496" s="113"/>
      <c r="AH496" s="113"/>
      <c r="AI496" s="113"/>
      <c r="AJ496" s="113"/>
      <c r="AK496" s="113"/>
      <c r="AL496" s="113"/>
      <c r="AM496" s="113"/>
      <c r="AN496" s="113"/>
      <c r="AO496" s="113"/>
      <c r="AP496" s="113"/>
      <c r="AQ496" s="113"/>
      <c r="AR496" s="113"/>
      <c r="AS496" s="113"/>
      <c r="AT496" s="113"/>
      <c r="AU496" s="113"/>
      <c r="AV496" s="113"/>
      <c r="AW496" s="113"/>
      <c r="AX496" s="113"/>
      <c r="AY496" s="113"/>
      <c r="AZ496" s="113"/>
      <c r="BA496" s="113"/>
      <c r="BB496" s="113"/>
      <c r="BC496" s="113"/>
      <c r="BD496" s="113"/>
      <c r="BE496" s="113"/>
      <c r="BF496" s="113"/>
      <c r="BG496" s="113"/>
      <c r="BH496" s="113"/>
      <c r="BI496" s="113"/>
      <c r="BJ496" s="113"/>
      <c r="BK496" s="113"/>
      <c r="BL496" s="113"/>
      <c r="BM496" s="113"/>
      <c r="BN496" s="113"/>
      <c r="BO496" s="113"/>
      <c r="BP496" s="113"/>
      <c r="BQ496" s="113"/>
      <c r="BR496" s="113"/>
      <c r="BS496" s="113"/>
      <c r="BT496" s="113"/>
      <c r="BU496" s="113"/>
      <c r="BV496" s="113"/>
      <c r="BW496" s="113"/>
      <c r="BX496" s="113"/>
      <c r="BY496" s="113"/>
      <c r="BZ496" s="113"/>
      <c r="CA496" s="113"/>
      <c r="CB496" s="113"/>
    </row>
    <row r="497" spans="5:80" x14ac:dyDescent="0.25">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c r="AC497" s="113"/>
      <c r="AD497" s="113"/>
      <c r="AE497" s="113"/>
      <c r="AF497" s="113"/>
      <c r="AG497" s="113"/>
      <c r="AH497" s="113"/>
      <c r="AI497" s="113"/>
      <c r="AJ497" s="113"/>
      <c r="AK497" s="113"/>
      <c r="AL497" s="113"/>
      <c r="AM497" s="113"/>
      <c r="AN497" s="113"/>
      <c r="AO497" s="113"/>
      <c r="AP497" s="113"/>
      <c r="AQ497" s="113"/>
      <c r="AR497" s="113"/>
      <c r="AS497" s="113"/>
      <c r="AT497" s="113"/>
      <c r="AU497" s="113"/>
      <c r="AV497" s="113"/>
      <c r="AW497" s="113"/>
      <c r="AX497" s="113"/>
      <c r="AY497" s="113"/>
      <c r="AZ497" s="113"/>
      <c r="BA497" s="113"/>
      <c r="BB497" s="113"/>
      <c r="BC497" s="113"/>
      <c r="BD497" s="113"/>
      <c r="BE497" s="113"/>
      <c r="BF497" s="113"/>
      <c r="BG497" s="113"/>
      <c r="BH497" s="113"/>
      <c r="BI497" s="113"/>
      <c r="BJ497" s="113"/>
      <c r="BK497" s="113"/>
      <c r="BL497" s="113"/>
      <c r="BM497" s="113"/>
      <c r="BN497" s="113"/>
      <c r="BO497" s="113"/>
      <c r="BP497" s="113"/>
      <c r="BQ497" s="113"/>
      <c r="BR497" s="113"/>
      <c r="BS497" s="113"/>
      <c r="BT497" s="113"/>
      <c r="BU497" s="113"/>
      <c r="BV497" s="113"/>
      <c r="BW497" s="113"/>
      <c r="BX497" s="113"/>
      <c r="BY497" s="113"/>
      <c r="BZ497" s="113"/>
      <c r="CA497" s="113"/>
      <c r="CB497" s="113"/>
    </row>
    <row r="498" spans="5:80" x14ac:dyDescent="0.25">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c r="AC498" s="113"/>
      <c r="AD498" s="113"/>
      <c r="AE498" s="113"/>
      <c r="AF498" s="113"/>
      <c r="AG498" s="113"/>
      <c r="AH498" s="113"/>
      <c r="AI498" s="113"/>
      <c r="AJ498" s="113"/>
      <c r="AK498" s="113"/>
      <c r="AL498" s="113"/>
      <c r="AM498" s="113"/>
      <c r="AN498" s="113"/>
      <c r="AO498" s="113"/>
      <c r="AP498" s="113"/>
      <c r="AQ498" s="113"/>
      <c r="AR498" s="113"/>
      <c r="AS498" s="113"/>
      <c r="AT498" s="113"/>
      <c r="AU498" s="113"/>
      <c r="AV498" s="113"/>
      <c r="AW498" s="113"/>
      <c r="AX498" s="113"/>
      <c r="AY498" s="113"/>
      <c r="AZ498" s="113"/>
      <c r="BA498" s="113"/>
      <c r="BB498" s="113"/>
      <c r="BC498" s="113"/>
      <c r="BD498" s="113"/>
      <c r="BE498" s="113"/>
      <c r="BF498" s="113"/>
      <c r="BG498" s="113"/>
      <c r="BH498" s="113"/>
      <c r="BI498" s="113"/>
      <c r="BJ498" s="113"/>
      <c r="BK498" s="113"/>
      <c r="BL498" s="113"/>
      <c r="BM498" s="113"/>
      <c r="BN498" s="113"/>
      <c r="BO498" s="113"/>
      <c r="BP498" s="113"/>
      <c r="BQ498" s="113"/>
      <c r="BR498" s="113"/>
      <c r="BS498" s="113"/>
      <c r="BT498" s="113"/>
      <c r="BU498" s="113"/>
      <c r="BV498" s="113"/>
      <c r="BW498" s="113"/>
      <c r="BX498" s="113"/>
      <c r="BY498" s="113"/>
      <c r="BZ498" s="113"/>
      <c r="CA498" s="113"/>
      <c r="CB498" s="113"/>
    </row>
    <row r="499" spans="5:80" x14ac:dyDescent="0.25">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c r="AC499" s="113"/>
      <c r="AD499" s="113"/>
      <c r="AE499" s="113"/>
      <c r="AF499" s="113"/>
      <c r="AG499" s="113"/>
      <c r="AH499" s="113"/>
      <c r="AI499" s="113"/>
      <c r="AJ499" s="113"/>
      <c r="AK499" s="113"/>
      <c r="AL499" s="113"/>
      <c r="AM499" s="113"/>
      <c r="AN499" s="113"/>
      <c r="AO499" s="113"/>
      <c r="AP499" s="113"/>
      <c r="AQ499" s="113"/>
      <c r="AR499" s="113"/>
      <c r="AS499" s="113"/>
      <c r="AT499" s="113"/>
      <c r="AU499" s="113"/>
      <c r="AV499" s="113"/>
      <c r="AW499" s="113"/>
      <c r="AX499" s="113"/>
      <c r="AY499" s="113"/>
      <c r="AZ499" s="113"/>
      <c r="BA499" s="113"/>
      <c r="BB499" s="113"/>
      <c r="BC499" s="113"/>
      <c r="BD499" s="113"/>
      <c r="BE499" s="113"/>
      <c r="BF499" s="113"/>
      <c r="BG499" s="113"/>
      <c r="BH499" s="113"/>
      <c r="BI499" s="113"/>
      <c r="BJ499" s="113"/>
      <c r="BK499" s="113"/>
      <c r="BL499" s="113"/>
      <c r="BM499" s="113"/>
      <c r="BN499" s="113"/>
      <c r="BO499" s="113"/>
      <c r="BP499" s="113"/>
      <c r="BQ499" s="113"/>
      <c r="BR499" s="113"/>
      <c r="BS499" s="113"/>
      <c r="BT499" s="113"/>
      <c r="BU499" s="113"/>
      <c r="BV499" s="113"/>
      <c r="BW499" s="113"/>
      <c r="BX499" s="113"/>
      <c r="BY499" s="113"/>
      <c r="BZ499" s="113"/>
      <c r="CA499" s="113"/>
      <c r="CB499" s="113"/>
    </row>
    <row r="500" spans="5:80" x14ac:dyDescent="0.25">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c r="AC500" s="113"/>
      <c r="AD500" s="113"/>
      <c r="AE500" s="113"/>
      <c r="AF500" s="113"/>
      <c r="AG500" s="113"/>
      <c r="AH500" s="113"/>
      <c r="AI500" s="113"/>
      <c r="AJ500" s="113"/>
      <c r="AK500" s="113"/>
      <c r="AL500" s="113"/>
      <c r="AM500" s="113"/>
      <c r="AN500" s="113"/>
      <c r="AO500" s="113"/>
      <c r="AP500" s="113"/>
      <c r="AQ500" s="113"/>
      <c r="AR500" s="113"/>
      <c r="AS500" s="113"/>
      <c r="AT500" s="113"/>
      <c r="AU500" s="113"/>
      <c r="AV500" s="113"/>
      <c r="AW500" s="113"/>
      <c r="AX500" s="113"/>
      <c r="AY500" s="113"/>
      <c r="AZ500" s="113"/>
      <c r="BA500" s="113"/>
      <c r="BB500" s="113"/>
      <c r="BC500" s="113"/>
      <c r="BD500" s="113"/>
      <c r="BE500" s="113"/>
      <c r="BF500" s="113"/>
      <c r="BG500" s="113"/>
      <c r="BH500" s="113"/>
      <c r="BI500" s="113"/>
      <c r="BJ500" s="113"/>
      <c r="BK500" s="113"/>
      <c r="BL500" s="113"/>
      <c r="BM500" s="113"/>
      <c r="BN500" s="113"/>
      <c r="BO500" s="113"/>
      <c r="BP500" s="113"/>
      <c r="BQ500" s="113"/>
      <c r="BR500" s="113"/>
      <c r="BS500" s="113"/>
      <c r="BT500" s="113"/>
      <c r="BU500" s="113"/>
      <c r="BV500" s="113"/>
      <c r="BW500" s="113"/>
      <c r="BX500" s="113"/>
      <c r="BY500" s="113"/>
      <c r="BZ500" s="113"/>
      <c r="CA500" s="113"/>
      <c r="CB500" s="113"/>
    </row>
    <row r="501" spans="5:80" x14ac:dyDescent="0.25">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3"/>
      <c r="AY501" s="113"/>
      <c r="AZ501" s="113"/>
      <c r="BA501" s="113"/>
      <c r="BB501" s="113"/>
      <c r="BC501" s="113"/>
      <c r="BD501" s="113"/>
      <c r="BE501" s="113"/>
      <c r="BF501" s="113"/>
      <c r="BG501" s="113"/>
      <c r="BH501" s="113"/>
      <c r="BI501" s="113"/>
      <c r="BJ501" s="113"/>
      <c r="BK501" s="113"/>
      <c r="BL501" s="113"/>
      <c r="BM501" s="113"/>
      <c r="BN501" s="113"/>
      <c r="BO501" s="113"/>
      <c r="BP501" s="113"/>
      <c r="BQ501" s="113"/>
      <c r="BR501" s="113"/>
      <c r="BS501" s="113"/>
      <c r="BT501" s="113"/>
      <c r="BU501" s="113"/>
      <c r="BV501" s="113"/>
      <c r="BW501" s="113"/>
      <c r="BX501" s="113"/>
      <c r="BY501" s="113"/>
      <c r="BZ501" s="113"/>
      <c r="CA501" s="113"/>
      <c r="CB501" s="113"/>
    </row>
    <row r="502" spans="5:80" x14ac:dyDescent="0.25">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c r="AC502" s="113"/>
      <c r="AD502" s="113"/>
      <c r="AE502" s="113"/>
      <c r="AF502" s="113"/>
      <c r="AG502" s="113"/>
      <c r="AH502" s="113"/>
      <c r="AI502" s="113"/>
      <c r="AJ502" s="113"/>
      <c r="AK502" s="113"/>
      <c r="AL502" s="113"/>
      <c r="AM502" s="113"/>
      <c r="AN502" s="113"/>
      <c r="AO502" s="113"/>
      <c r="AP502" s="113"/>
      <c r="AQ502" s="113"/>
      <c r="AR502" s="113"/>
      <c r="AS502" s="113"/>
      <c r="AT502" s="113"/>
      <c r="AU502" s="113"/>
      <c r="AV502" s="113"/>
      <c r="AW502" s="113"/>
      <c r="AX502" s="113"/>
      <c r="AY502" s="113"/>
      <c r="AZ502" s="113"/>
      <c r="BA502" s="113"/>
      <c r="BB502" s="113"/>
      <c r="BC502" s="113"/>
      <c r="BD502" s="113"/>
      <c r="BE502" s="113"/>
      <c r="BF502" s="113"/>
      <c r="BG502" s="113"/>
      <c r="BH502" s="113"/>
      <c r="BI502" s="113"/>
      <c r="BJ502" s="113"/>
      <c r="BK502" s="113"/>
      <c r="BL502" s="113"/>
      <c r="BM502" s="113"/>
      <c r="BN502" s="113"/>
      <c r="BO502" s="113"/>
      <c r="BP502" s="113"/>
      <c r="BQ502" s="113"/>
      <c r="BR502" s="113"/>
      <c r="BS502" s="113"/>
      <c r="BT502" s="113"/>
      <c r="BU502" s="113"/>
      <c r="BV502" s="113"/>
      <c r="BW502" s="113"/>
      <c r="BX502" s="113"/>
      <c r="BY502" s="113"/>
      <c r="BZ502" s="113"/>
      <c r="CA502" s="113"/>
      <c r="CB502" s="113"/>
    </row>
    <row r="503" spans="5:80" x14ac:dyDescent="0.25">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3"/>
      <c r="AY503" s="113"/>
      <c r="AZ503" s="113"/>
      <c r="BA503" s="113"/>
      <c r="BB503" s="113"/>
      <c r="BC503" s="113"/>
      <c r="BD503" s="113"/>
      <c r="BE503" s="113"/>
      <c r="BF503" s="113"/>
      <c r="BG503" s="113"/>
      <c r="BH503" s="113"/>
      <c r="BI503" s="113"/>
      <c r="BJ503" s="113"/>
      <c r="BK503" s="113"/>
      <c r="BL503" s="113"/>
      <c r="BM503" s="113"/>
      <c r="BN503" s="113"/>
      <c r="BO503" s="113"/>
      <c r="BP503" s="113"/>
      <c r="BQ503" s="113"/>
      <c r="BR503" s="113"/>
      <c r="BS503" s="113"/>
      <c r="BT503" s="113"/>
      <c r="BU503" s="113"/>
      <c r="BV503" s="113"/>
      <c r="BW503" s="113"/>
      <c r="BX503" s="113"/>
      <c r="BY503" s="113"/>
      <c r="BZ503" s="113"/>
      <c r="CA503" s="113"/>
      <c r="CB503" s="113"/>
    </row>
    <row r="504" spans="5:80" x14ac:dyDescent="0.25">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c r="AC504" s="113"/>
      <c r="AD504" s="113"/>
      <c r="AE504" s="113"/>
      <c r="AF504" s="113"/>
      <c r="AG504" s="113"/>
      <c r="AH504" s="113"/>
      <c r="AI504" s="113"/>
      <c r="AJ504" s="113"/>
      <c r="AK504" s="113"/>
      <c r="AL504" s="113"/>
      <c r="AM504" s="113"/>
      <c r="AN504" s="113"/>
      <c r="AO504" s="113"/>
      <c r="AP504" s="113"/>
      <c r="AQ504" s="113"/>
      <c r="AR504" s="113"/>
      <c r="AS504" s="113"/>
      <c r="AT504" s="113"/>
      <c r="AU504" s="113"/>
      <c r="AV504" s="113"/>
      <c r="AW504" s="113"/>
      <c r="AX504" s="113"/>
      <c r="AY504" s="113"/>
      <c r="AZ504" s="113"/>
      <c r="BA504" s="113"/>
      <c r="BB504" s="113"/>
      <c r="BC504" s="113"/>
      <c r="BD504" s="113"/>
      <c r="BE504" s="113"/>
      <c r="BF504" s="113"/>
      <c r="BG504" s="113"/>
      <c r="BH504" s="113"/>
      <c r="BI504" s="113"/>
      <c r="BJ504" s="113"/>
      <c r="BK504" s="113"/>
      <c r="BL504" s="113"/>
      <c r="BM504" s="113"/>
      <c r="BN504" s="113"/>
      <c r="BO504" s="113"/>
      <c r="BP504" s="113"/>
      <c r="BQ504" s="113"/>
      <c r="BR504" s="113"/>
      <c r="BS504" s="113"/>
      <c r="BT504" s="113"/>
      <c r="BU504" s="113"/>
      <c r="BV504" s="113"/>
      <c r="BW504" s="113"/>
      <c r="BX504" s="113"/>
      <c r="BY504" s="113"/>
      <c r="BZ504" s="113"/>
      <c r="CA504" s="113"/>
      <c r="CB504" s="113"/>
    </row>
    <row r="505" spans="5:80" x14ac:dyDescent="0.25">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c r="AC505" s="113"/>
      <c r="AD505" s="113"/>
      <c r="AE505" s="113"/>
      <c r="AF505" s="113"/>
      <c r="AG505" s="113"/>
      <c r="AH505" s="113"/>
      <c r="AI505" s="113"/>
      <c r="AJ505" s="113"/>
      <c r="AK505" s="113"/>
      <c r="AL505" s="113"/>
      <c r="AM505" s="113"/>
      <c r="AN505" s="113"/>
      <c r="AO505" s="113"/>
      <c r="AP505" s="113"/>
      <c r="AQ505" s="113"/>
      <c r="AR505" s="113"/>
      <c r="AS505" s="113"/>
      <c r="AT505" s="113"/>
      <c r="AU505" s="113"/>
      <c r="AV505" s="113"/>
      <c r="AW505" s="113"/>
      <c r="AX505" s="113"/>
      <c r="AY505" s="113"/>
      <c r="AZ505" s="113"/>
      <c r="BA505" s="113"/>
      <c r="BB505" s="113"/>
      <c r="BC505" s="113"/>
      <c r="BD505" s="113"/>
      <c r="BE505" s="113"/>
      <c r="BF505" s="113"/>
      <c r="BG505" s="113"/>
      <c r="BH505" s="113"/>
      <c r="BI505" s="113"/>
      <c r="BJ505" s="113"/>
      <c r="BK505" s="113"/>
      <c r="BL505" s="113"/>
      <c r="BM505" s="113"/>
      <c r="BN505" s="113"/>
      <c r="BO505" s="113"/>
      <c r="BP505" s="113"/>
      <c r="BQ505" s="113"/>
      <c r="BR505" s="113"/>
      <c r="BS505" s="113"/>
      <c r="BT505" s="113"/>
      <c r="BU505" s="113"/>
      <c r="BV505" s="113"/>
      <c r="BW505" s="113"/>
      <c r="BX505" s="113"/>
      <c r="BY505" s="113"/>
      <c r="BZ505" s="113"/>
      <c r="CA505" s="113"/>
      <c r="CB505" s="113"/>
    </row>
    <row r="506" spans="5:80" x14ac:dyDescent="0.25">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c r="AC506" s="113"/>
      <c r="AD506" s="113"/>
      <c r="AE506" s="113"/>
      <c r="AF506" s="113"/>
      <c r="AG506" s="113"/>
      <c r="AH506" s="113"/>
      <c r="AI506" s="113"/>
      <c r="AJ506" s="113"/>
      <c r="AK506" s="113"/>
      <c r="AL506" s="113"/>
      <c r="AM506" s="113"/>
      <c r="AN506" s="113"/>
      <c r="AO506" s="113"/>
      <c r="AP506" s="113"/>
      <c r="AQ506" s="113"/>
      <c r="AR506" s="113"/>
      <c r="AS506" s="113"/>
      <c r="AT506" s="113"/>
      <c r="AU506" s="113"/>
      <c r="AV506" s="113"/>
      <c r="AW506" s="113"/>
      <c r="AX506" s="113"/>
      <c r="AY506" s="113"/>
      <c r="AZ506" s="113"/>
      <c r="BA506" s="113"/>
      <c r="BB506" s="113"/>
      <c r="BC506" s="113"/>
      <c r="BD506" s="113"/>
      <c r="BE506" s="113"/>
      <c r="BF506" s="113"/>
      <c r="BG506" s="113"/>
      <c r="BH506" s="113"/>
      <c r="BI506" s="113"/>
      <c r="BJ506" s="113"/>
      <c r="BK506" s="113"/>
      <c r="BL506" s="113"/>
      <c r="BM506" s="113"/>
      <c r="BN506" s="113"/>
      <c r="BO506" s="113"/>
      <c r="BP506" s="113"/>
      <c r="BQ506" s="113"/>
      <c r="BR506" s="113"/>
      <c r="BS506" s="113"/>
      <c r="BT506" s="113"/>
      <c r="BU506" s="113"/>
      <c r="BV506" s="113"/>
      <c r="BW506" s="113"/>
      <c r="BX506" s="113"/>
      <c r="BY506" s="113"/>
      <c r="BZ506" s="113"/>
      <c r="CA506" s="113"/>
      <c r="CB506" s="113"/>
    </row>
    <row r="507" spans="5:80" x14ac:dyDescent="0.25">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3"/>
      <c r="AY507" s="113"/>
      <c r="AZ507" s="113"/>
      <c r="BA507" s="113"/>
      <c r="BB507" s="113"/>
      <c r="BC507" s="113"/>
      <c r="BD507" s="113"/>
      <c r="BE507" s="113"/>
      <c r="BF507" s="113"/>
      <c r="BG507" s="113"/>
      <c r="BH507" s="113"/>
      <c r="BI507" s="113"/>
      <c r="BJ507" s="113"/>
      <c r="BK507" s="113"/>
      <c r="BL507" s="113"/>
      <c r="BM507" s="113"/>
      <c r="BN507" s="113"/>
      <c r="BO507" s="113"/>
      <c r="BP507" s="113"/>
      <c r="BQ507" s="113"/>
      <c r="BR507" s="113"/>
      <c r="BS507" s="113"/>
      <c r="BT507" s="113"/>
      <c r="BU507" s="113"/>
      <c r="BV507" s="113"/>
      <c r="BW507" s="113"/>
      <c r="BX507" s="113"/>
      <c r="BY507" s="113"/>
      <c r="BZ507" s="113"/>
      <c r="CA507" s="113"/>
      <c r="CB507" s="113"/>
    </row>
    <row r="508" spans="5:80" x14ac:dyDescent="0.25">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c r="AC508" s="113"/>
      <c r="AD508" s="113"/>
      <c r="AE508" s="113"/>
      <c r="AF508" s="113"/>
      <c r="AG508" s="113"/>
      <c r="AH508" s="113"/>
      <c r="AI508" s="113"/>
      <c r="AJ508" s="113"/>
      <c r="AK508" s="113"/>
      <c r="AL508" s="113"/>
      <c r="AM508" s="113"/>
      <c r="AN508" s="113"/>
      <c r="AO508" s="113"/>
      <c r="AP508" s="113"/>
      <c r="AQ508" s="113"/>
      <c r="AR508" s="113"/>
      <c r="AS508" s="113"/>
      <c r="AT508" s="113"/>
      <c r="AU508" s="113"/>
      <c r="AV508" s="113"/>
      <c r="AW508" s="113"/>
      <c r="AX508" s="113"/>
      <c r="AY508" s="113"/>
      <c r="AZ508" s="113"/>
      <c r="BA508" s="113"/>
      <c r="BB508" s="113"/>
      <c r="BC508" s="113"/>
      <c r="BD508" s="113"/>
      <c r="BE508" s="113"/>
      <c r="BF508" s="113"/>
      <c r="BG508" s="113"/>
      <c r="BH508" s="113"/>
      <c r="BI508" s="113"/>
      <c r="BJ508" s="113"/>
      <c r="BK508" s="113"/>
      <c r="BL508" s="113"/>
      <c r="BM508" s="113"/>
      <c r="BN508" s="113"/>
      <c r="BO508" s="113"/>
      <c r="BP508" s="113"/>
      <c r="BQ508" s="113"/>
      <c r="BR508" s="113"/>
      <c r="BS508" s="113"/>
      <c r="BT508" s="113"/>
      <c r="BU508" s="113"/>
      <c r="BV508" s="113"/>
      <c r="BW508" s="113"/>
      <c r="BX508" s="113"/>
      <c r="BY508" s="113"/>
      <c r="BZ508" s="113"/>
      <c r="CA508" s="113"/>
      <c r="CB508" s="113"/>
    </row>
    <row r="509" spans="5:80" x14ac:dyDescent="0.25">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c r="AC509" s="113"/>
      <c r="AD509" s="113"/>
      <c r="AE509" s="113"/>
      <c r="AF509" s="113"/>
      <c r="AG509" s="113"/>
      <c r="AH509" s="113"/>
      <c r="AI509" s="113"/>
      <c r="AJ509" s="113"/>
      <c r="AK509" s="113"/>
      <c r="AL509" s="113"/>
      <c r="AM509" s="113"/>
      <c r="AN509" s="113"/>
      <c r="AO509" s="113"/>
      <c r="AP509" s="113"/>
      <c r="AQ509" s="113"/>
      <c r="AR509" s="113"/>
      <c r="AS509" s="113"/>
      <c r="AT509" s="113"/>
      <c r="AU509" s="113"/>
      <c r="AV509" s="113"/>
      <c r="AW509" s="113"/>
      <c r="AX509" s="113"/>
      <c r="AY509" s="113"/>
      <c r="AZ509" s="113"/>
      <c r="BA509" s="113"/>
      <c r="BB509" s="113"/>
      <c r="BC509" s="113"/>
      <c r="BD509" s="113"/>
      <c r="BE509" s="113"/>
      <c r="BF509" s="113"/>
      <c r="BG509" s="113"/>
      <c r="BH509" s="113"/>
      <c r="BI509" s="113"/>
      <c r="BJ509" s="113"/>
      <c r="BK509" s="113"/>
      <c r="BL509" s="113"/>
      <c r="BM509" s="113"/>
      <c r="BN509" s="113"/>
      <c r="BO509" s="113"/>
      <c r="BP509" s="113"/>
      <c r="BQ509" s="113"/>
      <c r="BR509" s="113"/>
      <c r="BS509" s="113"/>
      <c r="BT509" s="113"/>
      <c r="BU509" s="113"/>
      <c r="BV509" s="113"/>
      <c r="BW509" s="113"/>
      <c r="BX509" s="113"/>
      <c r="BY509" s="113"/>
      <c r="BZ509" s="113"/>
      <c r="CA509" s="113"/>
      <c r="CB509" s="113"/>
    </row>
    <row r="510" spans="5:80" x14ac:dyDescent="0.25">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c r="AC510" s="113"/>
      <c r="AD510" s="113"/>
      <c r="AE510" s="113"/>
      <c r="AF510" s="113"/>
      <c r="AG510" s="113"/>
      <c r="AH510" s="113"/>
      <c r="AI510" s="113"/>
      <c r="AJ510" s="113"/>
      <c r="AK510" s="113"/>
      <c r="AL510" s="113"/>
      <c r="AM510" s="113"/>
      <c r="AN510" s="113"/>
      <c r="AO510" s="113"/>
      <c r="AP510" s="113"/>
      <c r="AQ510" s="113"/>
      <c r="AR510" s="113"/>
      <c r="AS510" s="113"/>
      <c r="AT510" s="113"/>
      <c r="AU510" s="113"/>
      <c r="AV510" s="113"/>
      <c r="AW510" s="113"/>
      <c r="AX510" s="113"/>
      <c r="AY510" s="113"/>
      <c r="AZ510" s="113"/>
      <c r="BA510" s="113"/>
      <c r="BB510" s="113"/>
      <c r="BC510" s="113"/>
      <c r="BD510" s="113"/>
      <c r="BE510" s="113"/>
      <c r="BF510" s="113"/>
      <c r="BG510" s="113"/>
      <c r="BH510" s="113"/>
      <c r="BI510" s="113"/>
      <c r="BJ510" s="113"/>
      <c r="BK510" s="113"/>
      <c r="BL510" s="113"/>
      <c r="BM510" s="113"/>
      <c r="BN510" s="113"/>
      <c r="BO510" s="113"/>
      <c r="BP510" s="113"/>
      <c r="BQ510" s="113"/>
      <c r="BR510" s="113"/>
      <c r="BS510" s="113"/>
      <c r="BT510" s="113"/>
      <c r="BU510" s="113"/>
      <c r="BV510" s="113"/>
      <c r="BW510" s="113"/>
      <c r="BX510" s="113"/>
      <c r="BY510" s="113"/>
      <c r="BZ510" s="113"/>
      <c r="CA510" s="113"/>
      <c r="CB510" s="113"/>
    </row>
    <row r="511" spans="5:80" x14ac:dyDescent="0.25">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c r="AC511" s="113"/>
      <c r="AD511" s="113"/>
      <c r="AE511" s="113"/>
      <c r="AF511" s="113"/>
      <c r="AG511" s="113"/>
      <c r="AH511" s="113"/>
      <c r="AI511" s="113"/>
      <c r="AJ511" s="113"/>
      <c r="AK511" s="113"/>
      <c r="AL511" s="113"/>
      <c r="AM511" s="113"/>
      <c r="AN511" s="113"/>
      <c r="AO511" s="113"/>
      <c r="AP511" s="113"/>
      <c r="AQ511" s="113"/>
      <c r="AR511" s="113"/>
      <c r="AS511" s="113"/>
      <c r="AT511" s="113"/>
      <c r="AU511" s="113"/>
      <c r="AV511" s="113"/>
      <c r="AW511" s="113"/>
      <c r="AX511" s="113"/>
      <c r="AY511" s="113"/>
      <c r="AZ511" s="113"/>
      <c r="BA511" s="113"/>
      <c r="BB511" s="113"/>
      <c r="BC511" s="113"/>
      <c r="BD511" s="113"/>
      <c r="BE511" s="113"/>
      <c r="BF511" s="113"/>
      <c r="BG511" s="113"/>
      <c r="BH511" s="113"/>
      <c r="BI511" s="113"/>
      <c r="BJ511" s="113"/>
      <c r="BK511" s="113"/>
      <c r="BL511" s="113"/>
      <c r="BM511" s="113"/>
      <c r="BN511" s="113"/>
      <c r="BO511" s="113"/>
      <c r="BP511" s="113"/>
      <c r="BQ511" s="113"/>
      <c r="BR511" s="113"/>
      <c r="BS511" s="113"/>
      <c r="BT511" s="113"/>
      <c r="BU511" s="113"/>
      <c r="BV511" s="113"/>
      <c r="BW511" s="113"/>
      <c r="BX511" s="113"/>
      <c r="BY511" s="113"/>
      <c r="BZ511" s="113"/>
      <c r="CA511" s="113"/>
      <c r="CB511" s="113"/>
    </row>
    <row r="512" spans="5:80" x14ac:dyDescent="0.25">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c r="AC512" s="113"/>
      <c r="AD512" s="113"/>
      <c r="AE512" s="113"/>
      <c r="AF512" s="113"/>
      <c r="AG512" s="113"/>
      <c r="AH512" s="113"/>
      <c r="AI512" s="113"/>
      <c r="AJ512" s="113"/>
      <c r="AK512" s="113"/>
      <c r="AL512" s="113"/>
      <c r="AM512" s="113"/>
      <c r="AN512" s="113"/>
      <c r="AO512" s="113"/>
      <c r="AP512" s="113"/>
      <c r="AQ512" s="113"/>
      <c r="AR512" s="113"/>
      <c r="AS512" s="113"/>
      <c r="AT512" s="113"/>
      <c r="AU512" s="113"/>
      <c r="AV512" s="113"/>
      <c r="AW512" s="113"/>
      <c r="AX512" s="113"/>
      <c r="AY512" s="113"/>
      <c r="AZ512" s="113"/>
      <c r="BA512" s="113"/>
      <c r="BB512" s="113"/>
      <c r="BC512" s="113"/>
      <c r="BD512" s="113"/>
      <c r="BE512" s="113"/>
      <c r="BF512" s="113"/>
      <c r="BG512" s="113"/>
      <c r="BH512" s="113"/>
      <c r="BI512" s="113"/>
      <c r="BJ512" s="113"/>
      <c r="BK512" s="113"/>
      <c r="BL512" s="113"/>
      <c r="BM512" s="113"/>
      <c r="BN512" s="113"/>
      <c r="BO512" s="113"/>
      <c r="BP512" s="113"/>
      <c r="BQ512" s="113"/>
      <c r="BR512" s="113"/>
      <c r="BS512" s="113"/>
      <c r="BT512" s="113"/>
      <c r="BU512" s="113"/>
      <c r="BV512" s="113"/>
      <c r="BW512" s="113"/>
      <c r="BX512" s="113"/>
      <c r="BY512" s="113"/>
      <c r="BZ512" s="113"/>
      <c r="CA512" s="113"/>
      <c r="CB512" s="113"/>
    </row>
    <row r="513" spans="5:80" x14ac:dyDescent="0.25">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c r="AC513" s="113"/>
      <c r="AD513" s="113"/>
      <c r="AE513" s="113"/>
      <c r="AF513" s="113"/>
      <c r="AG513" s="113"/>
      <c r="AH513" s="113"/>
      <c r="AI513" s="113"/>
      <c r="AJ513" s="113"/>
      <c r="AK513" s="113"/>
      <c r="AL513" s="113"/>
      <c r="AM513" s="113"/>
      <c r="AN513" s="113"/>
      <c r="AO513" s="113"/>
      <c r="AP513" s="113"/>
      <c r="AQ513" s="113"/>
      <c r="AR513" s="113"/>
      <c r="AS513" s="113"/>
      <c r="AT513" s="113"/>
      <c r="AU513" s="113"/>
      <c r="AV513" s="113"/>
      <c r="AW513" s="113"/>
      <c r="AX513" s="113"/>
      <c r="AY513" s="113"/>
      <c r="AZ513" s="113"/>
      <c r="BA513" s="113"/>
      <c r="BB513" s="113"/>
      <c r="BC513" s="113"/>
      <c r="BD513" s="113"/>
      <c r="BE513" s="113"/>
      <c r="BF513" s="113"/>
      <c r="BG513" s="113"/>
      <c r="BH513" s="113"/>
      <c r="BI513" s="113"/>
      <c r="BJ513" s="113"/>
      <c r="BK513" s="113"/>
      <c r="BL513" s="113"/>
      <c r="BM513" s="113"/>
      <c r="BN513" s="113"/>
      <c r="BO513" s="113"/>
      <c r="BP513" s="113"/>
      <c r="BQ513" s="113"/>
      <c r="BR513" s="113"/>
      <c r="BS513" s="113"/>
      <c r="BT513" s="113"/>
      <c r="BU513" s="113"/>
      <c r="BV513" s="113"/>
      <c r="BW513" s="113"/>
      <c r="BX513" s="113"/>
      <c r="BY513" s="113"/>
      <c r="BZ513" s="113"/>
      <c r="CA513" s="113"/>
      <c r="CB513" s="113"/>
    </row>
    <row r="514" spans="5:80" x14ac:dyDescent="0.25">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c r="AC514" s="113"/>
      <c r="AD514" s="113"/>
      <c r="AE514" s="113"/>
      <c r="AF514" s="113"/>
      <c r="AG514" s="113"/>
      <c r="AH514" s="113"/>
      <c r="AI514" s="113"/>
      <c r="AJ514" s="113"/>
      <c r="AK514" s="113"/>
      <c r="AL514" s="113"/>
      <c r="AM514" s="113"/>
      <c r="AN514" s="113"/>
      <c r="AO514" s="113"/>
      <c r="AP514" s="113"/>
      <c r="AQ514" s="113"/>
      <c r="AR514" s="113"/>
      <c r="AS514" s="113"/>
      <c r="AT514" s="113"/>
      <c r="AU514" s="113"/>
      <c r="AV514" s="113"/>
      <c r="AW514" s="113"/>
      <c r="AX514" s="113"/>
      <c r="AY514" s="113"/>
      <c r="AZ514" s="113"/>
      <c r="BA514" s="113"/>
      <c r="BB514" s="113"/>
      <c r="BC514" s="113"/>
      <c r="BD514" s="113"/>
      <c r="BE514" s="113"/>
      <c r="BF514" s="113"/>
      <c r="BG514" s="113"/>
      <c r="BH514" s="113"/>
      <c r="BI514" s="113"/>
      <c r="BJ514" s="113"/>
      <c r="BK514" s="113"/>
      <c r="BL514" s="113"/>
      <c r="BM514" s="113"/>
      <c r="BN514" s="113"/>
      <c r="BO514" s="113"/>
      <c r="BP514" s="113"/>
      <c r="BQ514" s="113"/>
      <c r="BR514" s="113"/>
      <c r="BS514" s="113"/>
      <c r="BT514" s="113"/>
      <c r="BU514" s="113"/>
      <c r="BV514" s="113"/>
      <c r="BW514" s="113"/>
      <c r="BX514" s="113"/>
      <c r="BY514" s="113"/>
      <c r="BZ514" s="113"/>
      <c r="CA514" s="113"/>
      <c r="CB514" s="113"/>
    </row>
    <row r="515" spans="5:80" x14ac:dyDescent="0.25">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c r="AC515" s="113"/>
      <c r="AD515" s="113"/>
      <c r="AE515" s="113"/>
      <c r="AF515" s="113"/>
      <c r="AG515" s="113"/>
      <c r="AH515" s="113"/>
      <c r="AI515" s="113"/>
      <c r="AJ515" s="113"/>
      <c r="AK515" s="113"/>
      <c r="AL515" s="113"/>
      <c r="AM515" s="113"/>
      <c r="AN515" s="113"/>
      <c r="AO515" s="113"/>
      <c r="AP515" s="113"/>
      <c r="AQ515" s="113"/>
      <c r="AR515" s="113"/>
      <c r="AS515" s="113"/>
      <c r="AT515" s="113"/>
      <c r="AU515" s="113"/>
      <c r="AV515" s="113"/>
      <c r="AW515" s="113"/>
      <c r="AX515" s="113"/>
      <c r="AY515" s="113"/>
      <c r="AZ515" s="113"/>
      <c r="BA515" s="113"/>
      <c r="BB515" s="113"/>
      <c r="BC515" s="113"/>
      <c r="BD515" s="113"/>
      <c r="BE515" s="113"/>
      <c r="BF515" s="113"/>
      <c r="BG515" s="113"/>
      <c r="BH515" s="113"/>
      <c r="BI515" s="113"/>
      <c r="BJ515" s="113"/>
      <c r="BK515" s="113"/>
      <c r="BL515" s="113"/>
      <c r="BM515" s="113"/>
      <c r="BN515" s="113"/>
      <c r="BO515" s="113"/>
      <c r="BP515" s="113"/>
      <c r="BQ515" s="113"/>
      <c r="BR515" s="113"/>
      <c r="BS515" s="113"/>
      <c r="BT515" s="113"/>
      <c r="BU515" s="113"/>
      <c r="BV515" s="113"/>
      <c r="BW515" s="113"/>
      <c r="BX515" s="113"/>
      <c r="BY515" s="113"/>
      <c r="BZ515" s="113"/>
      <c r="CA515" s="113"/>
      <c r="CB515" s="113"/>
    </row>
    <row r="516" spans="5:80" x14ac:dyDescent="0.25">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c r="AC516" s="113"/>
      <c r="AD516" s="113"/>
      <c r="AE516" s="113"/>
      <c r="AF516" s="113"/>
      <c r="AG516" s="113"/>
      <c r="AH516" s="113"/>
      <c r="AI516" s="113"/>
      <c r="AJ516" s="113"/>
      <c r="AK516" s="113"/>
      <c r="AL516" s="113"/>
      <c r="AM516" s="113"/>
      <c r="AN516" s="113"/>
      <c r="AO516" s="113"/>
      <c r="AP516" s="113"/>
      <c r="AQ516" s="113"/>
      <c r="AR516" s="113"/>
      <c r="AS516" s="113"/>
      <c r="AT516" s="113"/>
      <c r="AU516" s="113"/>
      <c r="AV516" s="113"/>
      <c r="AW516" s="113"/>
      <c r="AX516" s="113"/>
      <c r="AY516" s="113"/>
      <c r="AZ516" s="113"/>
      <c r="BA516" s="113"/>
      <c r="BB516" s="113"/>
      <c r="BC516" s="113"/>
      <c r="BD516" s="113"/>
      <c r="BE516" s="113"/>
      <c r="BF516" s="113"/>
      <c r="BG516" s="113"/>
      <c r="BH516" s="113"/>
      <c r="BI516" s="113"/>
      <c r="BJ516" s="113"/>
      <c r="BK516" s="113"/>
      <c r="BL516" s="113"/>
      <c r="BM516" s="113"/>
      <c r="BN516" s="113"/>
      <c r="BO516" s="113"/>
      <c r="BP516" s="113"/>
      <c r="BQ516" s="113"/>
      <c r="BR516" s="113"/>
      <c r="BS516" s="113"/>
      <c r="BT516" s="113"/>
      <c r="BU516" s="113"/>
      <c r="BV516" s="113"/>
      <c r="BW516" s="113"/>
      <c r="BX516" s="113"/>
      <c r="BY516" s="113"/>
      <c r="BZ516" s="113"/>
      <c r="CA516" s="113"/>
      <c r="CB516" s="113"/>
    </row>
    <row r="517" spans="5:80" x14ac:dyDescent="0.25">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c r="AC517" s="113"/>
      <c r="AD517" s="113"/>
      <c r="AE517" s="113"/>
      <c r="AF517" s="113"/>
      <c r="AG517" s="113"/>
      <c r="AH517" s="113"/>
      <c r="AI517" s="113"/>
      <c r="AJ517" s="113"/>
      <c r="AK517" s="113"/>
      <c r="AL517" s="113"/>
      <c r="AM517" s="113"/>
      <c r="AN517" s="113"/>
      <c r="AO517" s="113"/>
      <c r="AP517" s="113"/>
      <c r="AQ517" s="113"/>
      <c r="AR517" s="113"/>
      <c r="AS517" s="113"/>
      <c r="AT517" s="113"/>
      <c r="AU517" s="113"/>
      <c r="AV517" s="113"/>
      <c r="AW517" s="113"/>
      <c r="AX517" s="113"/>
      <c r="AY517" s="113"/>
      <c r="AZ517" s="113"/>
      <c r="BA517" s="113"/>
      <c r="BB517" s="113"/>
      <c r="BC517" s="113"/>
      <c r="BD517" s="113"/>
      <c r="BE517" s="113"/>
      <c r="BF517" s="113"/>
      <c r="BG517" s="113"/>
      <c r="BH517" s="113"/>
      <c r="BI517" s="113"/>
      <c r="BJ517" s="113"/>
      <c r="BK517" s="113"/>
      <c r="BL517" s="113"/>
      <c r="BM517" s="113"/>
      <c r="BN517" s="113"/>
      <c r="BO517" s="113"/>
      <c r="BP517" s="113"/>
      <c r="BQ517" s="113"/>
      <c r="BR517" s="113"/>
      <c r="BS517" s="113"/>
      <c r="BT517" s="113"/>
      <c r="BU517" s="113"/>
      <c r="BV517" s="113"/>
      <c r="BW517" s="113"/>
      <c r="BX517" s="113"/>
      <c r="BY517" s="113"/>
      <c r="BZ517" s="113"/>
      <c r="CA517" s="113"/>
      <c r="CB517" s="113"/>
    </row>
    <row r="518" spans="5:80" x14ac:dyDescent="0.25">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c r="AC518" s="113"/>
      <c r="AD518" s="113"/>
      <c r="AE518" s="113"/>
      <c r="AF518" s="113"/>
      <c r="AG518" s="113"/>
      <c r="AH518" s="113"/>
      <c r="AI518" s="113"/>
      <c r="AJ518" s="113"/>
      <c r="AK518" s="113"/>
      <c r="AL518" s="113"/>
      <c r="AM518" s="113"/>
      <c r="AN518" s="113"/>
      <c r="AO518" s="113"/>
      <c r="AP518" s="113"/>
      <c r="AQ518" s="113"/>
      <c r="AR518" s="113"/>
      <c r="AS518" s="113"/>
      <c r="AT518" s="113"/>
      <c r="AU518" s="113"/>
      <c r="AV518" s="113"/>
      <c r="AW518" s="113"/>
      <c r="AX518" s="113"/>
      <c r="AY518" s="113"/>
      <c r="AZ518" s="113"/>
      <c r="BA518" s="113"/>
      <c r="BB518" s="113"/>
      <c r="BC518" s="113"/>
      <c r="BD518" s="113"/>
      <c r="BE518" s="113"/>
      <c r="BF518" s="113"/>
      <c r="BG518" s="113"/>
      <c r="BH518" s="113"/>
      <c r="BI518" s="113"/>
      <c r="BJ518" s="113"/>
      <c r="BK518" s="113"/>
      <c r="BL518" s="113"/>
      <c r="BM518" s="113"/>
      <c r="BN518" s="113"/>
      <c r="BO518" s="113"/>
      <c r="BP518" s="113"/>
      <c r="BQ518" s="113"/>
      <c r="BR518" s="113"/>
      <c r="BS518" s="113"/>
      <c r="BT518" s="113"/>
      <c r="BU518" s="113"/>
      <c r="BV518" s="113"/>
      <c r="BW518" s="113"/>
      <c r="BX518" s="113"/>
      <c r="BY518" s="113"/>
      <c r="BZ518" s="113"/>
      <c r="CA518" s="113"/>
      <c r="CB518" s="113"/>
    </row>
    <row r="519" spans="5:80" x14ac:dyDescent="0.25">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c r="AC519" s="113"/>
      <c r="AD519" s="113"/>
      <c r="AE519" s="113"/>
      <c r="AF519" s="113"/>
      <c r="AG519" s="113"/>
      <c r="AH519" s="113"/>
      <c r="AI519" s="113"/>
      <c r="AJ519" s="113"/>
      <c r="AK519" s="113"/>
      <c r="AL519" s="113"/>
      <c r="AM519" s="113"/>
      <c r="AN519" s="113"/>
      <c r="AO519" s="113"/>
      <c r="AP519" s="113"/>
      <c r="AQ519" s="113"/>
      <c r="AR519" s="113"/>
      <c r="AS519" s="113"/>
      <c r="AT519" s="113"/>
      <c r="AU519" s="113"/>
      <c r="AV519" s="113"/>
      <c r="AW519" s="113"/>
      <c r="AX519" s="113"/>
      <c r="AY519" s="113"/>
      <c r="AZ519" s="113"/>
      <c r="BA519" s="113"/>
      <c r="BB519" s="113"/>
      <c r="BC519" s="113"/>
      <c r="BD519" s="113"/>
      <c r="BE519" s="113"/>
      <c r="BF519" s="113"/>
      <c r="BG519" s="113"/>
      <c r="BH519" s="113"/>
      <c r="BI519" s="113"/>
      <c r="BJ519" s="113"/>
      <c r="BK519" s="113"/>
      <c r="BL519" s="113"/>
      <c r="BM519" s="113"/>
      <c r="BN519" s="113"/>
      <c r="BO519" s="113"/>
      <c r="BP519" s="113"/>
      <c r="BQ519" s="113"/>
      <c r="BR519" s="113"/>
      <c r="BS519" s="113"/>
      <c r="BT519" s="113"/>
      <c r="BU519" s="113"/>
      <c r="BV519" s="113"/>
      <c r="BW519" s="113"/>
      <c r="BX519" s="113"/>
      <c r="BY519" s="113"/>
      <c r="BZ519" s="113"/>
      <c r="CA519" s="113"/>
      <c r="CB519" s="113"/>
    </row>
    <row r="520" spans="5:80" x14ac:dyDescent="0.25">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c r="AC520" s="113"/>
      <c r="AD520" s="113"/>
      <c r="AE520" s="113"/>
      <c r="AF520" s="113"/>
      <c r="AG520" s="113"/>
      <c r="AH520" s="113"/>
      <c r="AI520" s="113"/>
      <c r="AJ520" s="113"/>
      <c r="AK520" s="113"/>
      <c r="AL520" s="113"/>
      <c r="AM520" s="113"/>
      <c r="AN520" s="113"/>
      <c r="AO520" s="113"/>
      <c r="AP520" s="113"/>
      <c r="AQ520" s="113"/>
      <c r="AR520" s="113"/>
      <c r="AS520" s="113"/>
      <c r="AT520" s="113"/>
      <c r="AU520" s="113"/>
      <c r="AV520" s="113"/>
      <c r="AW520" s="113"/>
      <c r="AX520" s="113"/>
      <c r="AY520" s="113"/>
      <c r="AZ520" s="113"/>
      <c r="BA520" s="113"/>
      <c r="BB520" s="113"/>
      <c r="BC520" s="113"/>
      <c r="BD520" s="113"/>
      <c r="BE520" s="113"/>
      <c r="BF520" s="113"/>
      <c r="BG520" s="113"/>
      <c r="BH520" s="113"/>
      <c r="BI520" s="113"/>
      <c r="BJ520" s="113"/>
      <c r="BK520" s="113"/>
      <c r="BL520" s="113"/>
      <c r="BM520" s="113"/>
      <c r="BN520" s="113"/>
      <c r="BO520" s="113"/>
      <c r="BP520" s="113"/>
      <c r="BQ520" s="113"/>
      <c r="BR520" s="113"/>
      <c r="BS520" s="113"/>
      <c r="BT520" s="113"/>
      <c r="BU520" s="113"/>
      <c r="BV520" s="113"/>
      <c r="BW520" s="113"/>
      <c r="BX520" s="113"/>
      <c r="BY520" s="113"/>
      <c r="BZ520" s="113"/>
      <c r="CA520" s="113"/>
      <c r="CB520" s="113"/>
    </row>
    <row r="521" spans="5:80" x14ac:dyDescent="0.25">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c r="AC521" s="113"/>
      <c r="AD521" s="113"/>
      <c r="AE521" s="113"/>
      <c r="AF521" s="113"/>
      <c r="AG521" s="113"/>
      <c r="AH521" s="113"/>
      <c r="AI521" s="113"/>
      <c r="AJ521" s="113"/>
      <c r="AK521" s="113"/>
      <c r="AL521" s="113"/>
      <c r="AM521" s="113"/>
      <c r="AN521" s="113"/>
      <c r="AO521" s="113"/>
      <c r="AP521" s="113"/>
      <c r="AQ521" s="113"/>
      <c r="AR521" s="113"/>
      <c r="AS521" s="113"/>
      <c r="AT521" s="113"/>
      <c r="AU521" s="113"/>
      <c r="AV521" s="113"/>
      <c r="AW521" s="113"/>
      <c r="AX521" s="113"/>
      <c r="AY521" s="113"/>
      <c r="AZ521" s="113"/>
      <c r="BA521" s="113"/>
      <c r="BB521" s="113"/>
      <c r="BC521" s="113"/>
      <c r="BD521" s="113"/>
      <c r="BE521" s="113"/>
      <c r="BF521" s="113"/>
      <c r="BG521" s="113"/>
      <c r="BH521" s="113"/>
      <c r="BI521" s="113"/>
      <c r="BJ521" s="113"/>
      <c r="BK521" s="113"/>
      <c r="BL521" s="113"/>
      <c r="BM521" s="113"/>
      <c r="BN521" s="113"/>
      <c r="BO521" s="113"/>
      <c r="BP521" s="113"/>
      <c r="BQ521" s="113"/>
      <c r="BR521" s="113"/>
      <c r="BS521" s="113"/>
      <c r="BT521" s="113"/>
      <c r="BU521" s="113"/>
      <c r="BV521" s="113"/>
      <c r="BW521" s="113"/>
      <c r="BX521" s="113"/>
      <c r="BY521" s="113"/>
      <c r="BZ521" s="113"/>
      <c r="CA521" s="113"/>
      <c r="CB521" s="113"/>
    </row>
    <row r="522" spans="5:80" x14ac:dyDescent="0.25">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c r="AC522" s="113"/>
      <c r="AD522" s="113"/>
      <c r="AE522" s="113"/>
      <c r="AF522" s="113"/>
      <c r="AG522" s="113"/>
      <c r="AH522" s="113"/>
      <c r="AI522" s="113"/>
      <c r="AJ522" s="113"/>
      <c r="AK522" s="113"/>
      <c r="AL522" s="113"/>
      <c r="AM522" s="113"/>
      <c r="AN522" s="113"/>
      <c r="AO522" s="113"/>
      <c r="AP522" s="113"/>
      <c r="AQ522" s="113"/>
      <c r="AR522" s="113"/>
      <c r="AS522" s="113"/>
      <c r="AT522" s="113"/>
      <c r="AU522" s="113"/>
      <c r="AV522" s="113"/>
      <c r="AW522" s="113"/>
      <c r="AX522" s="113"/>
      <c r="AY522" s="113"/>
      <c r="AZ522" s="113"/>
      <c r="BA522" s="113"/>
      <c r="BB522" s="113"/>
      <c r="BC522" s="113"/>
      <c r="BD522" s="113"/>
      <c r="BE522" s="113"/>
      <c r="BF522" s="113"/>
      <c r="BG522" s="113"/>
      <c r="BH522" s="113"/>
      <c r="BI522" s="113"/>
      <c r="BJ522" s="113"/>
      <c r="BK522" s="113"/>
      <c r="BL522" s="113"/>
      <c r="BM522" s="113"/>
      <c r="BN522" s="113"/>
      <c r="BO522" s="113"/>
      <c r="BP522" s="113"/>
      <c r="BQ522" s="113"/>
      <c r="BR522" s="113"/>
      <c r="BS522" s="113"/>
      <c r="BT522" s="113"/>
      <c r="BU522" s="113"/>
      <c r="BV522" s="113"/>
      <c r="BW522" s="113"/>
      <c r="BX522" s="113"/>
      <c r="BY522" s="113"/>
      <c r="BZ522" s="113"/>
      <c r="CA522" s="113"/>
      <c r="CB522" s="113"/>
    </row>
    <row r="523" spans="5:80" x14ac:dyDescent="0.25">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c r="AC523" s="113"/>
      <c r="AD523" s="113"/>
      <c r="AE523" s="113"/>
      <c r="AF523" s="113"/>
      <c r="AG523" s="113"/>
      <c r="AH523" s="113"/>
      <c r="AI523" s="113"/>
      <c r="AJ523" s="113"/>
      <c r="AK523" s="113"/>
      <c r="AL523" s="113"/>
      <c r="AM523" s="113"/>
      <c r="AN523" s="113"/>
      <c r="AO523" s="113"/>
      <c r="AP523" s="113"/>
      <c r="AQ523" s="113"/>
      <c r="AR523" s="113"/>
      <c r="AS523" s="113"/>
      <c r="AT523" s="113"/>
      <c r="AU523" s="113"/>
      <c r="AV523" s="113"/>
      <c r="AW523" s="113"/>
      <c r="AX523" s="113"/>
      <c r="AY523" s="113"/>
      <c r="AZ523" s="113"/>
      <c r="BA523" s="113"/>
      <c r="BB523" s="113"/>
      <c r="BC523" s="113"/>
      <c r="BD523" s="113"/>
      <c r="BE523" s="113"/>
      <c r="BF523" s="113"/>
      <c r="BG523" s="113"/>
      <c r="BH523" s="113"/>
      <c r="BI523" s="113"/>
      <c r="BJ523" s="113"/>
      <c r="BK523" s="113"/>
      <c r="BL523" s="113"/>
      <c r="BM523" s="113"/>
      <c r="BN523" s="113"/>
      <c r="BO523" s="113"/>
      <c r="BP523" s="113"/>
      <c r="BQ523" s="113"/>
      <c r="BR523" s="113"/>
      <c r="BS523" s="113"/>
      <c r="BT523" s="113"/>
      <c r="BU523" s="113"/>
      <c r="BV523" s="113"/>
      <c r="BW523" s="113"/>
      <c r="BX523" s="113"/>
      <c r="BY523" s="113"/>
      <c r="BZ523" s="113"/>
      <c r="CA523" s="113"/>
      <c r="CB523" s="113"/>
    </row>
    <row r="524" spans="5:80" x14ac:dyDescent="0.25">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c r="AC524" s="113"/>
      <c r="AD524" s="113"/>
      <c r="AE524" s="113"/>
      <c r="AF524" s="113"/>
      <c r="AG524" s="113"/>
      <c r="AH524" s="113"/>
      <c r="AI524" s="113"/>
      <c r="AJ524" s="113"/>
      <c r="AK524" s="113"/>
      <c r="AL524" s="113"/>
      <c r="AM524" s="113"/>
      <c r="AN524" s="113"/>
      <c r="AO524" s="113"/>
      <c r="AP524" s="113"/>
      <c r="AQ524" s="113"/>
      <c r="AR524" s="113"/>
      <c r="AS524" s="113"/>
      <c r="AT524" s="113"/>
      <c r="AU524" s="113"/>
      <c r="AV524" s="113"/>
      <c r="AW524" s="113"/>
      <c r="AX524" s="113"/>
      <c r="AY524" s="113"/>
      <c r="AZ524" s="113"/>
      <c r="BA524" s="113"/>
      <c r="BB524" s="113"/>
      <c r="BC524" s="113"/>
      <c r="BD524" s="113"/>
      <c r="BE524" s="113"/>
      <c r="BF524" s="113"/>
      <c r="BG524" s="113"/>
      <c r="BH524" s="113"/>
      <c r="BI524" s="113"/>
      <c r="BJ524" s="113"/>
      <c r="BK524" s="113"/>
      <c r="BL524" s="113"/>
      <c r="BM524" s="113"/>
      <c r="BN524" s="113"/>
      <c r="BO524" s="113"/>
      <c r="BP524" s="113"/>
      <c r="BQ524" s="113"/>
      <c r="BR524" s="113"/>
      <c r="BS524" s="113"/>
      <c r="BT524" s="113"/>
      <c r="BU524" s="113"/>
      <c r="BV524" s="113"/>
      <c r="BW524" s="113"/>
      <c r="BX524" s="113"/>
      <c r="BY524" s="113"/>
      <c r="BZ524" s="113"/>
      <c r="CA524" s="113"/>
      <c r="CB524" s="113"/>
    </row>
    <row r="525" spans="5:80" x14ac:dyDescent="0.25">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c r="AC525" s="113"/>
      <c r="AD525" s="113"/>
      <c r="AE525" s="113"/>
      <c r="AF525" s="113"/>
      <c r="AG525" s="113"/>
      <c r="AH525" s="113"/>
      <c r="AI525" s="113"/>
      <c r="AJ525" s="113"/>
      <c r="AK525" s="113"/>
      <c r="AL525" s="113"/>
      <c r="AM525" s="113"/>
      <c r="AN525" s="113"/>
      <c r="AO525" s="113"/>
      <c r="AP525" s="113"/>
      <c r="AQ525" s="113"/>
      <c r="AR525" s="113"/>
      <c r="AS525" s="113"/>
      <c r="AT525" s="113"/>
      <c r="AU525" s="113"/>
      <c r="AV525" s="113"/>
      <c r="AW525" s="113"/>
      <c r="AX525" s="113"/>
      <c r="AY525" s="113"/>
      <c r="AZ525" s="113"/>
      <c r="BA525" s="113"/>
      <c r="BB525" s="113"/>
      <c r="BC525" s="113"/>
      <c r="BD525" s="113"/>
      <c r="BE525" s="113"/>
      <c r="BF525" s="113"/>
      <c r="BG525" s="113"/>
      <c r="BH525" s="113"/>
      <c r="BI525" s="113"/>
      <c r="BJ525" s="113"/>
      <c r="BK525" s="113"/>
      <c r="BL525" s="113"/>
      <c r="BM525" s="113"/>
      <c r="BN525" s="113"/>
      <c r="BO525" s="113"/>
      <c r="BP525" s="113"/>
      <c r="BQ525" s="113"/>
      <c r="BR525" s="113"/>
      <c r="BS525" s="113"/>
      <c r="BT525" s="113"/>
      <c r="BU525" s="113"/>
      <c r="BV525" s="113"/>
      <c r="BW525" s="113"/>
      <c r="BX525" s="113"/>
      <c r="BY525" s="113"/>
      <c r="BZ525" s="113"/>
      <c r="CA525" s="113"/>
      <c r="CB525" s="113"/>
    </row>
    <row r="526" spans="5:80" x14ac:dyDescent="0.25">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c r="AC526" s="113"/>
      <c r="AD526" s="113"/>
      <c r="AE526" s="113"/>
      <c r="AF526" s="113"/>
      <c r="AG526" s="113"/>
      <c r="AH526" s="113"/>
      <c r="AI526" s="113"/>
      <c r="AJ526" s="113"/>
      <c r="AK526" s="113"/>
      <c r="AL526" s="113"/>
      <c r="AM526" s="113"/>
      <c r="AN526" s="113"/>
      <c r="AO526" s="113"/>
      <c r="AP526" s="113"/>
      <c r="AQ526" s="113"/>
      <c r="AR526" s="113"/>
      <c r="AS526" s="113"/>
      <c r="AT526" s="113"/>
      <c r="AU526" s="113"/>
      <c r="AV526" s="113"/>
      <c r="AW526" s="113"/>
      <c r="AX526" s="113"/>
      <c r="AY526" s="113"/>
      <c r="AZ526" s="113"/>
      <c r="BA526" s="113"/>
      <c r="BB526" s="113"/>
      <c r="BC526" s="113"/>
      <c r="BD526" s="113"/>
      <c r="BE526" s="113"/>
      <c r="BF526" s="113"/>
      <c r="BG526" s="113"/>
      <c r="BH526" s="113"/>
      <c r="BI526" s="113"/>
      <c r="BJ526" s="113"/>
      <c r="BK526" s="113"/>
      <c r="BL526" s="113"/>
      <c r="BM526" s="113"/>
      <c r="BN526" s="113"/>
      <c r="BO526" s="113"/>
      <c r="BP526" s="113"/>
      <c r="BQ526" s="113"/>
      <c r="BR526" s="113"/>
      <c r="BS526" s="113"/>
      <c r="BT526" s="113"/>
      <c r="BU526" s="113"/>
      <c r="BV526" s="113"/>
      <c r="BW526" s="113"/>
      <c r="BX526" s="113"/>
      <c r="BY526" s="113"/>
      <c r="BZ526" s="113"/>
      <c r="CA526" s="113"/>
      <c r="CB526" s="113"/>
    </row>
    <row r="527" spans="5:80" x14ac:dyDescent="0.25">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c r="AC527" s="113"/>
      <c r="AD527" s="113"/>
      <c r="AE527" s="113"/>
      <c r="AF527" s="113"/>
      <c r="AG527" s="113"/>
      <c r="AH527" s="113"/>
      <c r="AI527" s="113"/>
      <c r="AJ527" s="113"/>
      <c r="AK527" s="113"/>
      <c r="AL527" s="113"/>
      <c r="AM527" s="113"/>
      <c r="AN527" s="113"/>
      <c r="AO527" s="113"/>
      <c r="AP527" s="113"/>
      <c r="AQ527" s="113"/>
      <c r="AR527" s="113"/>
      <c r="AS527" s="113"/>
      <c r="AT527" s="113"/>
      <c r="AU527" s="113"/>
      <c r="AV527" s="113"/>
      <c r="AW527" s="113"/>
      <c r="AX527" s="113"/>
      <c r="AY527" s="113"/>
      <c r="AZ527" s="113"/>
      <c r="BA527" s="113"/>
      <c r="BB527" s="113"/>
      <c r="BC527" s="113"/>
      <c r="BD527" s="113"/>
      <c r="BE527" s="113"/>
      <c r="BF527" s="113"/>
      <c r="BG527" s="113"/>
      <c r="BH527" s="113"/>
      <c r="BI527" s="113"/>
      <c r="BJ527" s="113"/>
      <c r="BK527" s="113"/>
      <c r="BL527" s="113"/>
      <c r="BM527" s="113"/>
      <c r="BN527" s="113"/>
      <c r="BO527" s="113"/>
      <c r="BP527" s="113"/>
      <c r="BQ527" s="113"/>
      <c r="BR527" s="113"/>
      <c r="BS527" s="113"/>
      <c r="BT527" s="113"/>
      <c r="BU527" s="113"/>
      <c r="BV527" s="113"/>
      <c r="BW527" s="113"/>
      <c r="BX527" s="113"/>
      <c r="BY527" s="113"/>
      <c r="BZ527" s="113"/>
      <c r="CA527" s="113"/>
      <c r="CB527" s="113"/>
    </row>
    <row r="528" spans="5:80" x14ac:dyDescent="0.25">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c r="AC528" s="113"/>
      <c r="AD528" s="113"/>
      <c r="AE528" s="113"/>
      <c r="AF528" s="113"/>
      <c r="AG528" s="113"/>
      <c r="AH528" s="113"/>
      <c r="AI528" s="113"/>
      <c r="AJ528" s="113"/>
      <c r="AK528" s="113"/>
      <c r="AL528" s="113"/>
      <c r="AM528" s="113"/>
      <c r="AN528" s="113"/>
      <c r="AO528" s="113"/>
      <c r="AP528" s="113"/>
      <c r="AQ528" s="113"/>
      <c r="AR528" s="113"/>
      <c r="AS528" s="113"/>
      <c r="AT528" s="113"/>
      <c r="AU528" s="113"/>
      <c r="AV528" s="113"/>
      <c r="AW528" s="113"/>
      <c r="AX528" s="113"/>
      <c r="AY528" s="113"/>
      <c r="AZ528" s="113"/>
      <c r="BA528" s="113"/>
      <c r="BB528" s="113"/>
      <c r="BC528" s="113"/>
      <c r="BD528" s="113"/>
      <c r="BE528" s="113"/>
      <c r="BF528" s="113"/>
      <c r="BG528" s="113"/>
      <c r="BH528" s="113"/>
      <c r="BI528" s="113"/>
      <c r="BJ528" s="113"/>
      <c r="BK528" s="113"/>
      <c r="BL528" s="113"/>
      <c r="BM528" s="113"/>
      <c r="BN528" s="113"/>
      <c r="BO528" s="113"/>
      <c r="BP528" s="113"/>
      <c r="BQ528" s="113"/>
      <c r="BR528" s="113"/>
      <c r="BS528" s="113"/>
      <c r="BT528" s="113"/>
      <c r="BU528" s="113"/>
      <c r="BV528" s="113"/>
      <c r="BW528" s="113"/>
      <c r="BX528" s="113"/>
      <c r="BY528" s="113"/>
      <c r="BZ528" s="113"/>
      <c r="CA528" s="113"/>
      <c r="CB528" s="113"/>
    </row>
    <row r="529" spans="5:80" x14ac:dyDescent="0.25">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c r="AC529" s="113"/>
      <c r="AD529" s="113"/>
      <c r="AE529" s="113"/>
      <c r="AF529" s="113"/>
      <c r="AG529" s="113"/>
      <c r="AH529" s="113"/>
      <c r="AI529" s="113"/>
      <c r="AJ529" s="113"/>
      <c r="AK529" s="113"/>
      <c r="AL529" s="113"/>
      <c r="AM529" s="113"/>
      <c r="AN529" s="113"/>
      <c r="AO529" s="113"/>
      <c r="AP529" s="113"/>
      <c r="AQ529" s="113"/>
      <c r="AR529" s="113"/>
      <c r="AS529" s="113"/>
      <c r="AT529" s="113"/>
      <c r="AU529" s="113"/>
      <c r="AV529" s="113"/>
      <c r="AW529" s="113"/>
      <c r="AX529" s="113"/>
      <c r="AY529" s="113"/>
      <c r="AZ529" s="113"/>
      <c r="BA529" s="113"/>
      <c r="BB529" s="113"/>
      <c r="BC529" s="113"/>
      <c r="BD529" s="113"/>
      <c r="BE529" s="113"/>
      <c r="BF529" s="113"/>
      <c r="BG529" s="113"/>
      <c r="BH529" s="113"/>
      <c r="BI529" s="113"/>
      <c r="BJ529" s="113"/>
      <c r="BK529" s="113"/>
      <c r="BL529" s="113"/>
      <c r="BM529" s="113"/>
      <c r="BN529" s="113"/>
      <c r="BO529" s="113"/>
      <c r="BP529" s="113"/>
      <c r="BQ529" s="113"/>
      <c r="BR529" s="113"/>
      <c r="BS529" s="113"/>
      <c r="BT529" s="113"/>
      <c r="BU529" s="113"/>
      <c r="BV529" s="113"/>
      <c r="BW529" s="113"/>
      <c r="BX529" s="113"/>
      <c r="BY529" s="113"/>
      <c r="BZ529" s="113"/>
      <c r="CA529" s="113"/>
      <c r="CB529" s="113"/>
    </row>
    <row r="530" spans="5:80" x14ac:dyDescent="0.25">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c r="AC530" s="113"/>
      <c r="AD530" s="113"/>
      <c r="AE530" s="113"/>
      <c r="AF530" s="113"/>
      <c r="AG530" s="113"/>
      <c r="AH530" s="113"/>
      <c r="AI530" s="113"/>
      <c r="AJ530" s="113"/>
      <c r="AK530" s="113"/>
      <c r="AL530" s="113"/>
      <c r="AM530" s="113"/>
      <c r="AN530" s="113"/>
      <c r="AO530" s="113"/>
      <c r="AP530" s="113"/>
      <c r="AQ530" s="113"/>
      <c r="AR530" s="113"/>
      <c r="AS530" s="113"/>
      <c r="AT530" s="113"/>
      <c r="AU530" s="113"/>
      <c r="AV530" s="113"/>
      <c r="AW530" s="113"/>
      <c r="AX530" s="113"/>
      <c r="AY530" s="113"/>
      <c r="AZ530" s="113"/>
      <c r="BA530" s="113"/>
      <c r="BB530" s="113"/>
      <c r="BC530" s="113"/>
      <c r="BD530" s="113"/>
      <c r="BE530" s="113"/>
      <c r="BF530" s="113"/>
      <c r="BG530" s="113"/>
      <c r="BH530" s="113"/>
      <c r="BI530" s="113"/>
      <c r="BJ530" s="113"/>
      <c r="BK530" s="113"/>
      <c r="BL530" s="113"/>
      <c r="BM530" s="113"/>
      <c r="BN530" s="113"/>
      <c r="BO530" s="113"/>
      <c r="BP530" s="113"/>
      <c r="BQ530" s="113"/>
      <c r="BR530" s="113"/>
      <c r="BS530" s="113"/>
      <c r="BT530" s="113"/>
      <c r="BU530" s="113"/>
      <c r="BV530" s="113"/>
      <c r="BW530" s="113"/>
      <c r="BX530" s="113"/>
      <c r="BY530" s="113"/>
      <c r="BZ530" s="113"/>
      <c r="CA530" s="113"/>
      <c r="CB530" s="113"/>
    </row>
    <row r="531" spans="5:80" x14ac:dyDescent="0.25">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c r="AC531" s="113"/>
      <c r="AD531" s="113"/>
      <c r="AE531" s="113"/>
      <c r="AF531" s="113"/>
      <c r="AG531" s="113"/>
      <c r="AH531" s="113"/>
      <c r="AI531" s="113"/>
      <c r="AJ531" s="113"/>
      <c r="AK531" s="113"/>
      <c r="AL531" s="113"/>
      <c r="AM531" s="113"/>
      <c r="AN531" s="113"/>
      <c r="AO531" s="113"/>
      <c r="AP531" s="113"/>
      <c r="AQ531" s="113"/>
      <c r="AR531" s="113"/>
      <c r="AS531" s="113"/>
      <c r="AT531" s="113"/>
      <c r="AU531" s="113"/>
      <c r="AV531" s="113"/>
      <c r="AW531" s="113"/>
      <c r="AX531" s="113"/>
      <c r="AY531" s="113"/>
      <c r="AZ531" s="113"/>
      <c r="BA531" s="113"/>
      <c r="BB531" s="113"/>
      <c r="BC531" s="113"/>
      <c r="BD531" s="113"/>
      <c r="BE531" s="113"/>
      <c r="BF531" s="113"/>
      <c r="BG531" s="113"/>
      <c r="BH531" s="113"/>
      <c r="BI531" s="113"/>
      <c r="BJ531" s="113"/>
      <c r="BK531" s="113"/>
      <c r="BL531" s="113"/>
      <c r="BM531" s="113"/>
      <c r="BN531" s="113"/>
      <c r="BO531" s="113"/>
      <c r="BP531" s="113"/>
      <c r="BQ531" s="113"/>
      <c r="BR531" s="113"/>
      <c r="BS531" s="113"/>
      <c r="BT531" s="113"/>
      <c r="BU531" s="113"/>
      <c r="BV531" s="113"/>
      <c r="BW531" s="113"/>
      <c r="BX531" s="113"/>
      <c r="BY531" s="113"/>
      <c r="BZ531" s="113"/>
      <c r="CA531" s="113"/>
      <c r="CB531" s="113"/>
    </row>
    <row r="532" spans="5:80" x14ac:dyDescent="0.25">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c r="AC532" s="113"/>
      <c r="AD532" s="113"/>
      <c r="AE532" s="113"/>
      <c r="AF532" s="113"/>
      <c r="AG532" s="113"/>
      <c r="AH532" s="113"/>
      <c r="AI532" s="113"/>
      <c r="AJ532" s="113"/>
      <c r="AK532" s="113"/>
      <c r="AL532" s="113"/>
      <c r="AM532" s="113"/>
      <c r="AN532" s="113"/>
      <c r="AO532" s="113"/>
      <c r="AP532" s="113"/>
      <c r="AQ532" s="113"/>
      <c r="AR532" s="113"/>
      <c r="AS532" s="113"/>
      <c r="AT532" s="113"/>
      <c r="AU532" s="113"/>
      <c r="AV532" s="113"/>
      <c r="AW532" s="113"/>
      <c r="AX532" s="113"/>
      <c r="AY532" s="113"/>
      <c r="AZ532" s="113"/>
      <c r="BA532" s="113"/>
      <c r="BB532" s="113"/>
      <c r="BC532" s="113"/>
      <c r="BD532" s="113"/>
      <c r="BE532" s="113"/>
      <c r="BF532" s="113"/>
      <c r="BG532" s="113"/>
      <c r="BH532" s="113"/>
      <c r="BI532" s="113"/>
      <c r="BJ532" s="113"/>
      <c r="BK532" s="113"/>
      <c r="BL532" s="113"/>
      <c r="BM532" s="113"/>
      <c r="BN532" s="113"/>
      <c r="BO532" s="113"/>
      <c r="BP532" s="113"/>
      <c r="BQ532" s="113"/>
      <c r="BR532" s="113"/>
      <c r="BS532" s="113"/>
      <c r="BT532" s="113"/>
      <c r="BU532" s="113"/>
      <c r="BV532" s="113"/>
      <c r="BW532" s="113"/>
      <c r="BX532" s="113"/>
      <c r="BY532" s="113"/>
      <c r="BZ532" s="113"/>
      <c r="CA532" s="113"/>
      <c r="CB532" s="113"/>
    </row>
    <row r="533" spans="5:80" x14ac:dyDescent="0.25">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c r="AC533" s="113"/>
      <c r="AD533" s="113"/>
      <c r="AE533" s="113"/>
      <c r="AF533" s="113"/>
      <c r="AG533" s="113"/>
      <c r="AH533" s="113"/>
      <c r="AI533" s="113"/>
      <c r="AJ533" s="113"/>
      <c r="AK533" s="113"/>
      <c r="AL533" s="113"/>
      <c r="AM533" s="113"/>
      <c r="AN533" s="113"/>
      <c r="AO533" s="113"/>
      <c r="AP533" s="113"/>
      <c r="AQ533" s="113"/>
      <c r="AR533" s="113"/>
      <c r="AS533" s="113"/>
      <c r="AT533" s="113"/>
      <c r="AU533" s="113"/>
      <c r="AV533" s="113"/>
      <c r="AW533" s="113"/>
      <c r="AX533" s="113"/>
      <c r="AY533" s="113"/>
      <c r="AZ533" s="113"/>
      <c r="BA533" s="113"/>
      <c r="BB533" s="113"/>
      <c r="BC533" s="113"/>
      <c r="BD533" s="113"/>
      <c r="BE533" s="113"/>
      <c r="BF533" s="113"/>
      <c r="BG533" s="113"/>
      <c r="BH533" s="113"/>
      <c r="BI533" s="113"/>
      <c r="BJ533" s="113"/>
      <c r="BK533" s="113"/>
      <c r="BL533" s="113"/>
      <c r="BM533" s="113"/>
      <c r="BN533" s="113"/>
      <c r="BO533" s="113"/>
      <c r="BP533" s="113"/>
      <c r="BQ533" s="113"/>
      <c r="BR533" s="113"/>
      <c r="BS533" s="113"/>
      <c r="BT533" s="113"/>
      <c r="BU533" s="113"/>
      <c r="BV533" s="113"/>
      <c r="BW533" s="113"/>
      <c r="BX533" s="113"/>
      <c r="BY533" s="113"/>
      <c r="BZ533" s="113"/>
      <c r="CA533" s="113"/>
      <c r="CB533" s="113"/>
    </row>
    <row r="534" spans="5:80" x14ac:dyDescent="0.25">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c r="AC534" s="113"/>
      <c r="AD534" s="113"/>
      <c r="AE534" s="113"/>
      <c r="AF534" s="113"/>
      <c r="AG534" s="113"/>
      <c r="AH534" s="113"/>
      <c r="AI534" s="113"/>
      <c r="AJ534" s="113"/>
      <c r="AK534" s="113"/>
      <c r="AL534" s="113"/>
      <c r="AM534" s="113"/>
      <c r="AN534" s="113"/>
      <c r="AO534" s="113"/>
      <c r="AP534" s="113"/>
      <c r="AQ534" s="113"/>
      <c r="AR534" s="113"/>
      <c r="AS534" s="113"/>
      <c r="AT534" s="113"/>
      <c r="AU534" s="113"/>
      <c r="AV534" s="113"/>
      <c r="AW534" s="113"/>
      <c r="AX534" s="113"/>
      <c r="AY534" s="113"/>
      <c r="AZ534" s="113"/>
      <c r="BA534" s="113"/>
      <c r="BB534" s="113"/>
      <c r="BC534" s="113"/>
      <c r="BD534" s="113"/>
      <c r="BE534" s="113"/>
      <c r="BF534" s="113"/>
      <c r="BG534" s="113"/>
      <c r="BH534" s="113"/>
      <c r="BI534" s="113"/>
      <c r="BJ534" s="113"/>
      <c r="BK534" s="113"/>
      <c r="BL534" s="113"/>
      <c r="BM534" s="113"/>
      <c r="BN534" s="113"/>
      <c r="BO534" s="113"/>
      <c r="BP534" s="113"/>
      <c r="BQ534" s="113"/>
      <c r="BR534" s="113"/>
      <c r="BS534" s="113"/>
      <c r="BT534" s="113"/>
      <c r="BU534" s="113"/>
      <c r="BV534" s="113"/>
      <c r="BW534" s="113"/>
      <c r="BX534" s="113"/>
      <c r="BY534" s="113"/>
      <c r="BZ534" s="113"/>
      <c r="CA534" s="113"/>
      <c r="CB534" s="113"/>
    </row>
    <row r="535" spans="5:80" x14ac:dyDescent="0.25">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c r="AC535" s="113"/>
      <c r="AD535" s="113"/>
      <c r="AE535" s="113"/>
      <c r="AF535" s="113"/>
      <c r="AG535" s="113"/>
      <c r="AH535" s="113"/>
      <c r="AI535" s="113"/>
      <c r="AJ535" s="113"/>
      <c r="AK535" s="113"/>
      <c r="AL535" s="113"/>
      <c r="AM535" s="113"/>
      <c r="AN535" s="113"/>
      <c r="AO535" s="113"/>
      <c r="AP535" s="113"/>
      <c r="AQ535" s="113"/>
      <c r="AR535" s="113"/>
      <c r="AS535" s="113"/>
      <c r="AT535" s="113"/>
      <c r="AU535" s="113"/>
      <c r="AV535" s="113"/>
      <c r="AW535" s="113"/>
      <c r="AX535" s="113"/>
      <c r="AY535" s="113"/>
      <c r="AZ535" s="113"/>
      <c r="BA535" s="113"/>
      <c r="BB535" s="113"/>
      <c r="BC535" s="113"/>
      <c r="BD535" s="113"/>
      <c r="BE535" s="113"/>
      <c r="BF535" s="113"/>
      <c r="BG535" s="113"/>
      <c r="BH535" s="113"/>
      <c r="BI535" s="113"/>
      <c r="BJ535" s="113"/>
      <c r="BK535" s="113"/>
      <c r="BL535" s="113"/>
      <c r="BM535" s="113"/>
      <c r="BN535" s="113"/>
      <c r="BO535" s="113"/>
      <c r="BP535" s="113"/>
      <c r="BQ535" s="113"/>
      <c r="BR535" s="113"/>
      <c r="BS535" s="113"/>
      <c r="BT535" s="113"/>
      <c r="BU535" s="113"/>
      <c r="BV535" s="113"/>
      <c r="BW535" s="113"/>
      <c r="BX535" s="113"/>
      <c r="BY535" s="113"/>
      <c r="BZ535" s="113"/>
      <c r="CA535" s="113"/>
      <c r="CB535" s="113"/>
    </row>
    <row r="536" spans="5:80" x14ac:dyDescent="0.25">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c r="AC536" s="113"/>
      <c r="AD536" s="113"/>
      <c r="AE536" s="113"/>
      <c r="AF536" s="113"/>
      <c r="AG536" s="113"/>
      <c r="AH536" s="113"/>
      <c r="AI536" s="113"/>
      <c r="AJ536" s="113"/>
      <c r="AK536" s="113"/>
      <c r="AL536" s="113"/>
      <c r="AM536" s="113"/>
      <c r="AN536" s="113"/>
      <c r="AO536" s="113"/>
      <c r="AP536" s="113"/>
      <c r="AQ536" s="113"/>
      <c r="AR536" s="113"/>
      <c r="AS536" s="113"/>
      <c r="AT536" s="113"/>
      <c r="AU536" s="113"/>
      <c r="AV536" s="113"/>
      <c r="AW536" s="113"/>
      <c r="AX536" s="113"/>
      <c r="AY536" s="113"/>
      <c r="AZ536" s="113"/>
      <c r="BA536" s="113"/>
      <c r="BB536" s="113"/>
      <c r="BC536" s="113"/>
      <c r="BD536" s="113"/>
      <c r="BE536" s="113"/>
      <c r="BF536" s="113"/>
      <c r="BG536" s="113"/>
      <c r="BH536" s="113"/>
      <c r="BI536" s="113"/>
      <c r="BJ536" s="113"/>
      <c r="BK536" s="113"/>
      <c r="BL536" s="113"/>
      <c r="BM536" s="113"/>
      <c r="BN536" s="113"/>
      <c r="BO536" s="113"/>
      <c r="BP536" s="113"/>
      <c r="BQ536" s="113"/>
      <c r="BR536" s="113"/>
      <c r="BS536" s="113"/>
      <c r="BT536" s="113"/>
      <c r="BU536" s="113"/>
      <c r="BV536" s="113"/>
      <c r="BW536" s="113"/>
      <c r="BX536" s="113"/>
      <c r="BY536" s="113"/>
      <c r="BZ536" s="113"/>
      <c r="CA536" s="113"/>
      <c r="CB536" s="113"/>
    </row>
    <row r="537" spans="5:80" x14ac:dyDescent="0.25">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c r="AC537" s="113"/>
      <c r="AD537" s="113"/>
      <c r="AE537" s="113"/>
      <c r="AF537" s="113"/>
      <c r="AG537" s="113"/>
      <c r="AH537" s="113"/>
      <c r="AI537" s="113"/>
      <c r="AJ537" s="113"/>
      <c r="AK537" s="113"/>
      <c r="AL537" s="113"/>
      <c r="AM537" s="113"/>
      <c r="AN537" s="113"/>
      <c r="AO537" s="113"/>
      <c r="AP537" s="113"/>
      <c r="AQ537" s="113"/>
      <c r="AR537" s="113"/>
      <c r="AS537" s="113"/>
      <c r="AT537" s="113"/>
      <c r="AU537" s="113"/>
      <c r="AV537" s="113"/>
      <c r="AW537" s="113"/>
      <c r="AX537" s="113"/>
      <c r="AY537" s="113"/>
      <c r="AZ537" s="113"/>
      <c r="BA537" s="113"/>
      <c r="BB537" s="113"/>
      <c r="BC537" s="113"/>
      <c r="BD537" s="113"/>
      <c r="BE537" s="113"/>
      <c r="BF537" s="113"/>
      <c r="BG537" s="113"/>
      <c r="BH537" s="113"/>
      <c r="BI537" s="113"/>
      <c r="BJ537" s="113"/>
      <c r="BK537" s="113"/>
      <c r="BL537" s="113"/>
      <c r="BM537" s="113"/>
      <c r="BN537" s="113"/>
      <c r="BO537" s="113"/>
      <c r="BP537" s="113"/>
      <c r="BQ537" s="113"/>
      <c r="BR537" s="113"/>
      <c r="BS537" s="113"/>
      <c r="BT537" s="113"/>
      <c r="BU537" s="113"/>
      <c r="BV537" s="113"/>
      <c r="BW537" s="113"/>
      <c r="BX537" s="113"/>
      <c r="BY537" s="113"/>
      <c r="BZ537" s="113"/>
      <c r="CA537" s="113"/>
      <c r="CB537" s="113"/>
    </row>
    <row r="538" spans="5:80" x14ac:dyDescent="0.25">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c r="AC538" s="113"/>
      <c r="AD538" s="113"/>
      <c r="AE538" s="113"/>
      <c r="AF538" s="113"/>
      <c r="AG538" s="113"/>
      <c r="AH538" s="113"/>
      <c r="AI538" s="113"/>
      <c r="AJ538" s="113"/>
      <c r="AK538" s="113"/>
      <c r="AL538" s="113"/>
      <c r="AM538" s="113"/>
      <c r="AN538" s="113"/>
      <c r="AO538" s="113"/>
      <c r="AP538" s="113"/>
      <c r="AQ538" s="113"/>
      <c r="AR538" s="113"/>
      <c r="AS538" s="113"/>
      <c r="AT538" s="113"/>
      <c r="AU538" s="113"/>
      <c r="AV538" s="113"/>
      <c r="AW538" s="113"/>
      <c r="AX538" s="113"/>
      <c r="AY538" s="113"/>
      <c r="AZ538" s="113"/>
      <c r="BA538" s="113"/>
      <c r="BB538" s="113"/>
      <c r="BC538" s="113"/>
      <c r="BD538" s="113"/>
      <c r="BE538" s="113"/>
      <c r="BF538" s="113"/>
      <c r="BG538" s="113"/>
      <c r="BH538" s="113"/>
      <c r="BI538" s="113"/>
      <c r="BJ538" s="113"/>
      <c r="BK538" s="113"/>
      <c r="BL538" s="113"/>
      <c r="BM538" s="113"/>
      <c r="BN538" s="113"/>
      <c r="BO538" s="113"/>
      <c r="BP538" s="113"/>
      <c r="BQ538" s="113"/>
      <c r="BR538" s="113"/>
      <c r="BS538" s="113"/>
      <c r="BT538" s="113"/>
      <c r="BU538" s="113"/>
      <c r="BV538" s="113"/>
      <c r="BW538" s="113"/>
      <c r="BX538" s="113"/>
      <c r="BY538" s="113"/>
      <c r="BZ538" s="113"/>
      <c r="CA538" s="113"/>
      <c r="CB538" s="113"/>
    </row>
    <row r="539" spans="5:80" x14ac:dyDescent="0.25">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c r="AC539" s="113"/>
      <c r="AD539" s="113"/>
      <c r="AE539" s="113"/>
      <c r="AF539" s="113"/>
      <c r="AG539" s="113"/>
      <c r="AH539" s="113"/>
      <c r="AI539" s="113"/>
      <c r="AJ539" s="113"/>
      <c r="AK539" s="113"/>
      <c r="AL539" s="113"/>
      <c r="AM539" s="113"/>
      <c r="AN539" s="113"/>
      <c r="AO539" s="113"/>
      <c r="AP539" s="113"/>
      <c r="AQ539" s="113"/>
      <c r="AR539" s="113"/>
      <c r="AS539" s="113"/>
      <c r="AT539" s="113"/>
      <c r="AU539" s="113"/>
      <c r="AV539" s="113"/>
      <c r="AW539" s="113"/>
      <c r="AX539" s="113"/>
      <c r="AY539" s="113"/>
      <c r="AZ539" s="113"/>
      <c r="BA539" s="113"/>
      <c r="BB539" s="113"/>
      <c r="BC539" s="113"/>
      <c r="BD539" s="113"/>
      <c r="BE539" s="113"/>
      <c r="BF539" s="113"/>
      <c r="BG539" s="113"/>
      <c r="BH539" s="113"/>
      <c r="BI539" s="113"/>
      <c r="BJ539" s="113"/>
      <c r="BK539" s="113"/>
      <c r="BL539" s="113"/>
      <c r="BM539" s="113"/>
      <c r="BN539" s="113"/>
      <c r="BO539" s="113"/>
      <c r="BP539" s="113"/>
      <c r="BQ539" s="113"/>
      <c r="BR539" s="113"/>
      <c r="BS539" s="113"/>
      <c r="BT539" s="113"/>
      <c r="BU539" s="113"/>
      <c r="BV539" s="113"/>
      <c r="BW539" s="113"/>
      <c r="BX539" s="113"/>
      <c r="BY539" s="113"/>
      <c r="BZ539" s="113"/>
      <c r="CA539" s="113"/>
      <c r="CB539" s="113"/>
    </row>
    <row r="540" spans="5:80" x14ac:dyDescent="0.25">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c r="AC540" s="113"/>
      <c r="AD540" s="113"/>
      <c r="AE540" s="113"/>
      <c r="AF540" s="113"/>
      <c r="AG540" s="113"/>
      <c r="AH540" s="113"/>
      <c r="AI540" s="113"/>
      <c r="AJ540" s="113"/>
      <c r="AK540" s="113"/>
      <c r="AL540" s="113"/>
      <c r="AM540" s="113"/>
      <c r="AN540" s="113"/>
      <c r="AO540" s="113"/>
      <c r="AP540" s="113"/>
      <c r="AQ540" s="113"/>
      <c r="AR540" s="113"/>
      <c r="AS540" s="113"/>
      <c r="AT540" s="113"/>
      <c r="AU540" s="113"/>
      <c r="AV540" s="113"/>
      <c r="AW540" s="113"/>
      <c r="AX540" s="113"/>
      <c r="AY540" s="113"/>
      <c r="AZ540" s="113"/>
      <c r="BA540" s="113"/>
      <c r="BB540" s="113"/>
      <c r="BC540" s="113"/>
      <c r="BD540" s="113"/>
      <c r="BE540" s="113"/>
      <c r="BF540" s="113"/>
      <c r="BG540" s="113"/>
      <c r="BH540" s="113"/>
      <c r="BI540" s="113"/>
      <c r="BJ540" s="113"/>
      <c r="BK540" s="113"/>
      <c r="BL540" s="113"/>
      <c r="BM540" s="113"/>
      <c r="BN540" s="113"/>
      <c r="BO540" s="113"/>
      <c r="BP540" s="113"/>
      <c r="BQ540" s="113"/>
      <c r="BR540" s="113"/>
      <c r="BS540" s="113"/>
      <c r="BT540" s="113"/>
      <c r="BU540" s="113"/>
      <c r="BV540" s="113"/>
      <c r="BW540" s="113"/>
      <c r="BX540" s="113"/>
      <c r="BY540" s="113"/>
      <c r="BZ540" s="113"/>
      <c r="CA540" s="113"/>
      <c r="CB540" s="113"/>
    </row>
    <row r="541" spans="5:80" x14ac:dyDescent="0.25">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c r="AC541" s="113"/>
      <c r="AD541" s="113"/>
      <c r="AE541" s="113"/>
      <c r="AF541" s="113"/>
      <c r="AG541" s="113"/>
      <c r="AH541" s="113"/>
      <c r="AI541" s="113"/>
      <c r="AJ541" s="113"/>
      <c r="AK541" s="113"/>
      <c r="AL541" s="113"/>
      <c r="AM541" s="113"/>
      <c r="AN541" s="113"/>
      <c r="AO541" s="113"/>
      <c r="AP541" s="113"/>
      <c r="AQ541" s="113"/>
      <c r="AR541" s="113"/>
      <c r="AS541" s="113"/>
      <c r="AT541" s="113"/>
      <c r="AU541" s="113"/>
      <c r="AV541" s="113"/>
      <c r="AW541" s="113"/>
      <c r="AX541" s="113"/>
      <c r="AY541" s="113"/>
      <c r="AZ541" s="113"/>
      <c r="BA541" s="113"/>
      <c r="BB541" s="113"/>
      <c r="BC541" s="113"/>
      <c r="BD541" s="113"/>
      <c r="BE541" s="113"/>
      <c r="BF541" s="113"/>
      <c r="BG541" s="113"/>
      <c r="BH541" s="113"/>
      <c r="BI541" s="113"/>
      <c r="BJ541" s="113"/>
      <c r="BK541" s="113"/>
      <c r="BL541" s="113"/>
      <c r="BM541" s="113"/>
      <c r="BN541" s="113"/>
      <c r="BO541" s="113"/>
      <c r="BP541" s="113"/>
      <c r="BQ541" s="113"/>
      <c r="BR541" s="113"/>
      <c r="BS541" s="113"/>
      <c r="BT541" s="113"/>
      <c r="BU541" s="113"/>
      <c r="BV541" s="113"/>
      <c r="BW541" s="113"/>
      <c r="BX541" s="113"/>
      <c r="BY541" s="113"/>
      <c r="BZ541" s="113"/>
      <c r="CA541" s="113"/>
      <c r="CB541" s="113"/>
    </row>
    <row r="542" spans="5:80" x14ac:dyDescent="0.25">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c r="AC542" s="113"/>
      <c r="AD542" s="113"/>
      <c r="AE542" s="113"/>
      <c r="AF542" s="113"/>
      <c r="AG542" s="113"/>
      <c r="AH542" s="113"/>
      <c r="AI542" s="113"/>
      <c r="AJ542" s="113"/>
      <c r="AK542" s="113"/>
      <c r="AL542" s="113"/>
      <c r="AM542" s="113"/>
      <c r="AN542" s="113"/>
      <c r="AO542" s="113"/>
      <c r="AP542" s="113"/>
      <c r="AQ542" s="113"/>
      <c r="AR542" s="113"/>
      <c r="AS542" s="113"/>
      <c r="AT542" s="113"/>
      <c r="AU542" s="113"/>
      <c r="AV542" s="113"/>
      <c r="AW542" s="113"/>
      <c r="AX542" s="113"/>
      <c r="AY542" s="113"/>
      <c r="AZ542" s="113"/>
      <c r="BA542" s="113"/>
      <c r="BB542" s="113"/>
      <c r="BC542" s="113"/>
      <c r="BD542" s="113"/>
      <c r="BE542" s="113"/>
      <c r="BF542" s="113"/>
      <c r="BG542" s="113"/>
      <c r="BH542" s="113"/>
      <c r="BI542" s="113"/>
      <c r="BJ542" s="113"/>
      <c r="BK542" s="113"/>
      <c r="BL542" s="113"/>
      <c r="BM542" s="113"/>
      <c r="BN542" s="113"/>
      <c r="BO542" s="113"/>
      <c r="BP542" s="113"/>
      <c r="BQ542" s="113"/>
      <c r="BR542" s="113"/>
      <c r="BS542" s="113"/>
      <c r="BT542" s="113"/>
      <c r="BU542" s="113"/>
      <c r="BV542" s="113"/>
      <c r="BW542" s="113"/>
      <c r="BX542" s="113"/>
      <c r="BY542" s="113"/>
      <c r="BZ542" s="113"/>
      <c r="CA542" s="113"/>
      <c r="CB542" s="113"/>
    </row>
    <row r="543" spans="5:80" x14ac:dyDescent="0.25">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c r="AC543" s="113"/>
      <c r="AD543" s="113"/>
      <c r="AE543" s="113"/>
      <c r="AF543" s="113"/>
      <c r="AG543" s="113"/>
      <c r="AH543" s="113"/>
      <c r="AI543" s="113"/>
      <c r="AJ543" s="113"/>
      <c r="AK543" s="113"/>
      <c r="AL543" s="113"/>
      <c r="AM543" s="113"/>
      <c r="AN543" s="113"/>
      <c r="AO543" s="113"/>
      <c r="AP543" s="113"/>
      <c r="AQ543" s="113"/>
      <c r="AR543" s="113"/>
      <c r="AS543" s="113"/>
      <c r="AT543" s="113"/>
      <c r="AU543" s="113"/>
      <c r="AV543" s="113"/>
      <c r="AW543" s="113"/>
      <c r="AX543" s="113"/>
      <c r="AY543" s="113"/>
      <c r="AZ543" s="113"/>
      <c r="BA543" s="113"/>
      <c r="BB543" s="113"/>
      <c r="BC543" s="113"/>
      <c r="BD543" s="113"/>
      <c r="BE543" s="113"/>
      <c r="BF543" s="113"/>
      <c r="BG543" s="113"/>
      <c r="BH543" s="113"/>
      <c r="BI543" s="113"/>
      <c r="BJ543" s="113"/>
      <c r="BK543" s="113"/>
      <c r="BL543" s="113"/>
      <c r="BM543" s="113"/>
      <c r="BN543" s="113"/>
      <c r="BO543" s="113"/>
      <c r="BP543" s="113"/>
      <c r="BQ543" s="113"/>
      <c r="BR543" s="113"/>
      <c r="BS543" s="113"/>
      <c r="BT543" s="113"/>
      <c r="BU543" s="113"/>
      <c r="BV543" s="113"/>
      <c r="BW543" s="113"/>
      <c r="BX543" s="113"/>
      <c r="BY543" s="113"/>
      <c r="BZ543" s="113"/>
      <c r="CA543" s="113"/>
      <c r="CB543" s="113"/>
    </row>
    <row r="544" spans="5:80" x14ac:dyDescent="0.25">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c r="AC544" s="113"/>
      <c r="AD544" s="113"/>
      <c r="AE544" s="113"/>
      <c r="AF544" s="113"/>
      <c r="AG544" s="113"/>
      <c r="AH544" s="113"/>
      <c r="AI544" s="113"/>
      <c r="AJ544" s="113"/>
      <c r="AK544" s="113"/>
      <c r="AL544" s="113"/>
      <c r="AM544" s="113"/>
      <c r="AN544" s="113"/>
      <c r="AO544" s="113"/>
      <c r="AP544" s="113"/>
      <c r="AQ544" s="113"/>
      <c r="AR544" s="113"/>
      <c r="AS544" s="113"/>
      <c r="AT544" s="113"/>
      <c r="AU544" s="113"/>
      <c r="AV544" s="113"/>
      <c r="AW544" s="113"/>
      <c r="AX544" s="113"/>
      <c r="AY544" s="113"/>
      <c r="AZ544" s="113"/>
      <c r="BA544" s="113"/>
      <c r="BB544" s="113"/>
      <c r="BC544" s="113"/>
      <c r="BD544" s="113"/>
      <c r="BE544" s="113"/>
      <c r="BF544" s="113"/>
      <c r="BG544" s="113"/>
      <c r="BH544" s="113"/>
      <c r="BI544" s="113"/>
      <c r="BJ544" s="113"/>
      <c r="BK544" s="113"/>
      <c r="BL544" s="113"/>
      <c r="BM544" s="113"/>
      <c r="BN544" s="113"/>
      <c r="BO544" s="113"/>
      <c r="BP544" s="113"/>
      <c r="BQ544" s="113"/>
      <c r="BR544" s="113"/>
      <c r="BS544" s="113"/>
      <c r="BT544" s="113"/>
      <c r="BU544" s="113"/>
      <c r="BV544" s="113"/>
      <c r="BW544" s="113"/>
      <c r="BX544" s="113"/>
      <c r="BY544" s="113"/>
      <c r="BZ544" s="113"/>
      <c r="CA544" s="113"/>
      <c r="CB544" s="113"/>
    </row>
    <row r="545" spans="5:80" x14ac:dyDescent="0.25">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c r="AC545" s="113"/>
      <c r="AD545" s="113"/>
      <c r="AE545" s="113"/>
      <c r="AF545" s="113"/>
      <c r="AG545" s="113"/>
      <c r="AH545" s="113"/>
      <c r="AI545" s="113"/>
      <c r="AJ545" s="113"/>
      <c r="AK545" s="113"/>
      <c r="AL545" s="113"/>
      <c r="AM545" s="113"/>
      <c r="AN545" s="113"/>
      <c r="AO545" s="113"/>
      <c r="AP545" s="113"/>
      <c r="AQ545" s="113"/>
      <c r="AR545" s="113"/>
      <c r="AS545" s="113"/>
      <c r="AT545" s="113"/>
      <c r="AU545" s="113"/>
      <c r="AV545" s="113"/>
      <c r="AW545" s="113"/>
      <c r="AX545" s="113"/>
      <c r="AY545" s="113"/>
      <c r="AZ545" s="113"/>
      <c r="BA545" s="113"/>
      <c r="BB545" s="113"/>
      <c r="BC545" s="113"/>
      <c r="BD545" s="113"/>
      <c r="BE545" s="113"/>
      <c r="BF545" s="113"/>
      <c r="BG545" s="113"/>
      <c r="BH545" s="113"/>
      <c r="BI545" s="113"/>
      <c r="BJ545" s="113"/>
      <c r="BK545" s="113"/>
      <c r="BL545" s="113"/>
      <c r="BM545" s="113"/>
      <c r="BN545" s="113"/>
      <c r="BO545" s="113"/>
      <c r="BP545" s="113"/>
      <c r="BQ545" s="113"/>
      <c r="BR545" s="113"/>
      <c r="BS545" s="113"/>
      <c r="BT545" s="113"/>
      <c r="BU545" s="113"/>
      <c r="BV545" s="113"/>
      <c r="BW545" s="113"/>
      <c r="BX545" s="113"/>
      <c r="BY545" s="113"/>
      <c r="BZ545" s="113"/>
      <c r="CA545" s="113"/>
      <c r="CB545" s="113"/>
    </row>
    <row r="546" spans="5:80" x14ac:dyDescent="0.25">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c r="AC546" s="113"/>
      <c r="AD546" s="113"/>
      <c r="AE546" s="113"/>
      <c r="AF546" s="113"/>
      <c r="AG546" s="113"/>
      <c r="AH546" s="113"/>
      <c r="AI546" s="113"/>
      <c r="AJ546" s="113"/>
      <c r="AK546" s="113"/>
      <c r="AL546" s="113"/>
      <c r="AM546" s="113"/>
      <c r="AN546" s="113"/>
      <c r="AO546" s="113"/>
      <c r="AP546" s="113"/>
      <c r="AQ546" s="113"/>
      <c r="AR546" s="113"/>
      <c r="AS546" s="113"/>
      <c r="AT546" s="113"/>
      <c r="AU546" s="113"/>
      <c r="AV546" s="113"/>
      <c r="AW546" s="113"/>
      <c r="AX546" s="113"/>
      <c r="AY546" s="113"/>
      <c r="AZ546" s="113"/>
      <c r="BA546" s="113"/>
      <c r="BB546" s="113"/>
      <c r="BC546" s="113"/>
      <c r="BD546" s="113"/>
      <c r="BE546" s="113"/>
      <c r="BF546" s="113"/>
      <c r="BG546" s="113"/>
      <c r="BH546" s="113"/>
      <c r="BI546" s="113"/>
      <c r="BJ546" s="113"/>
      <c r="BK546" s="113"/>
      <c r="BL546" s="113"/>
      <c r="BM546" s="113"/>
      <c r="BN546" s="113"/>
      <c r="BO546" s="113"/>
      <c r="BP546" s="113"/>
      <c r="BQ546" s="113"/>
      <c r="BR546" s="113"/>
      <c r="BS546" s="113"/>
      <c r="BT546" s="113"/>
      <c r="BU546" s="113"/>
      <c r="BV546" s="113"/>
      <c r="BW546" s="113"/>
      <c r="BX546" s="113"/>
      <c r="BY546" s="113"/>
      <c r="BZ546" s="113"/>
      <c r="CA546" s="113"/>
      <c r="CB546" s="113"/>
    </row>
    <row r="547" spans="5:80" x14ac:dyDescent="0.25">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c r="AC547" s="113"/>
      <c r="AD547" s="113"/>
      <c r="AE547" s="113"/>
      <c r="AF547" s="113"/>
      <c r="AG547" s="113"/>
      <c r="AH547" s="113"/>
      <c r="AI547" s="113"/>
      <c r="AJ547" s="113"/>
      <c r="AK547" s="113"/>
      <c r="AL547" s="113"/>
      <c r="AM547" s="113"/>
      <c r="AN547" s="113"/>
      <c r="AO547" s="113"/>
      <c r="AP547" s="113"/>
      <c r="AQ547" s="113"/>
      <c r="AR547" s="113"/>
      <c r="AS547" s="113"/>
      <c r="AT547" s="113"/>
      <c r="AU547" s="113"/>
      <c r="AV547" s="113"/>
      <c r="AW547" s="113"/>
      <c r="AX547" s="113"/>
      <c r="AY547" s="113"/>
      <c r="AZ547" s="113"/>
      <c r="BA547" s="113"/>
      <c r="BB547" s="113"/>
      <c r="BC547" s="113"/>
      <c r="BD547" s="113"/>
      <c r="BE547" s="113"/>
      <c r="BF547" s="113"/>
      <c r="BG547" s="113"/>
      <c r="BH547" s="113"/>
      <c r="BI547" s="113"/>
      <c r="BJ547" s="113"/>
      <c r="BK547" s="113"/>
      <c r="BL547" s="113"/>
      <c r="BM547" s="113"/>
      <c r="BN547" s="113"/>
      <c r="BO547" s="113"/>
      <c r="BP547" s="113"/>
      <c r="BQ547" s="113"/>
      <c r="BR547" s="113"/>
      <c r="BS547" s="113"/>
      <c r="BT547" s="113"/>
      <c r="BU547" s="113"/>
      <c r="BV547" s="113"/>
      <c r="BW547" s="113"/>
      <c r="BX547" s="113"/>
      <c r="BY547" s="113"/>
      <c r="BZ547" s="113"/>
      <c r="CA547" s="113"/>
      <c r="CB547" s="113"/>
    </row>
    <row r="548" spans="5:80" x14ac:dyDescent="0.25">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c r="AC548" s="113"/>
      <c r="AD548" s="113"/>
      <c r="AE548" s="113"/>
      <c r="AF548" s="113"/>
      <c r="AG548" s="113"/>
      <c r="AH548" s="113"/>
      <c r="AI548" s="113"/>
      <c r="AJ548" s="113"/>
      <c r="AK548" s="113"/>
      <c r="AL548" s="113"/>
      <c r="AM548" s="113"/>
      <c r="AN548" s="113"/>
      <c r="AO548" s="113"/>
      <c r="AP548" s="113"/>
      <c r="AQ548" s="113"/>
      <c r="AR548" s="113"/>
      <c r="AS548" s="113"/>
      <c r="AT548" s="113"/>
      <c r="AU548" s="113"/>
      <c r="AV548" s="113"/>
      <c r="AW548" s="113"/>
      <c r="AX548" s="113"/>
      <c r="AY548" s="113"/>
      <c r="AZ548" s="113"/>
      <c r="BA548" s="113"/>
      <c r="BB548" s="113"/>
      <c r="BC548" s="113"/>
      <c r="BD548" s="113"/>
      <c r="BE548" s="113"/>
      <c r="BF548" s="113"/>
      <c r="BG548" s="113"/>
      <c r="BH548" s="113"/>
      <c r="BI548" s="113"/>
      <c r="BJ548" s="113"/>
      <c r="BK548" s="113"/>
      <c r="BL548" s="113"/>
      <c r="BM548" s="113"/>
      <c r="BN548" s="113"/>
      <c r="BO548" s="113"/>
      <c r="BP548" s="113"/>
      <c r="BQ548" s="113"/>
      <c r="BR548" s="113"/>
      <c r="BS548" s="113"/>
      <c r="BT548" s="113"/>
      <c r="BU548" s="113"/>
      <c r="BV548" s="113"/>
      <c r="BW548" s="113"/>
      <c r="BX548" s="113"/>
      <c r="BY548" s="113"/>
      <c r="BZ548" s="113"/>
      <c r="CA548" s="113"/>
      <c r="CB548" s="113"/>
    </row>
    <row r="549" spans="5:80" x14ac:dyDescent="0.25">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c r="AC549" s="113"/>
      <c r="AD549" s="113"/>
      <c r="AE549" s="113"/>
      <c r="AF549" s="113"/>
      <c r="AG549" s="113"/>
      <c r="AH549" s="113"/>
      <c r="AI549" s="113"/>
      <c r="AJ549" s="113"/>
      <c r="AK549" s="113"/>
      <c r="AL549" s="113"/>
      <c r="AM549" s="113"/>
      <c r="AN549" s="113"/>
      <c r="AO549" s="113"/>
      <c r="AP549" s="113"/>
      <c r="AQ549" s="113"/>
      <c r="AR549" s="113"/>
      <c r="AS549" s="113"/>
      <c r="AT549" s="113"/>
      <c r="AU549" s="113"/>
      <c r="AV549" s="113"/>
      <c r="AW549" s="113"/>
      <c r="AX549" s="113"/>
      <c r="AY549" s="113"/>
      <c r="AZ549" s="113"/>
      <c r="BA549" s="113"/>
      <c r="BB549" s="113"/>
      <c r="BC549" s="113"/>
      <c r="BD549" s="113"/>
      <c r="BE549" s="113"/>
      <c r="BF549" s="113"/>
      <c r="BG549" s="113"/>
      <c r="BH549" s="113"/>
      <c r="BI549" s="113"/>
      <c r="BJ549" s="113"/>
      <c r="BK549" s="113"/>
      <c r="BL549" s="113"/>
      <c r="BM549" s="113"/>
      <c r="BN549" s="113"/>
      <c r="BO549" s="113"/>
      <c r="BP549" s="113"/>
      <c r="BQ549" s="113"/>
      <c r="BR549" s="113"/>
      <c r="BS549" s="113"/>
      <c r="BT549" s="113"/>
      <c r="BU549" s="113"/>
      <c r="BV549" s="113"/>
      <c r="BW549" s="113"/>
      <c r="BX549" s="113"/>
      <c r="BY549" s="113"/>
      <c r="BZ549" s="113"/>
      <c r="CA549" s="113"/>
      <c r="CB549" s="113"/>
    </row>
    <row r="550" spans="5:80" x14ac:dyDescent="0.25">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c r="AC550" s="113"/>
      <c r="AD550" s="113"/>
      <c r="AE550" s="113"/>
      <c r="AF550" s="113"/>
      <c r="AG550" s="113"/>
      <c r="AH550" s="113"/>
      <c r="AI550" s="113"/>
      <c r="AJ550" s="113"/>
      <c r="AK550" s="113"/>
      <c r="AL550" s="113"/>
      <c r="AM550" s="113"/>
      <c r="AN550" s="113"/>
      <c r="AO550" s="113"/>
      <c r="AP550" s="113"/>
      <c r="AQ550" s="113"/>
      <c r="AR550" s="113"/>
      <c r="AS550" s="113"/>
      <c r="AT550" s="113"/>
      <c r="AU550" s="113"/>
      <c r="AV550" s="113"/>
      <c r="AW550" s="113"/>
      <c r="AX550" s="113"/>
      <c r="AY550" s="113"/>
      <c r="AZ550" s="113"/>
      <c r="BA550" s="113"/>
      <c r="BB550" s="113"/>
      <c r="BC550" s="113"/>
      <c r="BD550" s="113"/>
      <c r="BE550" s="113"/>
      <c r="BF550" s="113"/>
      <c r="BG550" s="113"/>
      <c r="BH550" s="113"/>
      <c r="BI550" s="113"/>
      <c r="BJ550" s="113"/>
      <c r="BK550" s="113"/>
      <c r="BL550" s="113"/>
      <c r="BM550" s="113"/>
      <c r="BN550" s="113"/>
      <c r="BO550" s="113"/>
      <c r="BP550" s="113"/>
      <c r="BQ550" s="113"/>
      <c r="BR550" s="113"/>
      <c r="BS550" s="113"/>
      <c r="BT550" s="113"/>
      <c r="BU550" s="113"/>
      <c r="BV550" s="113"/>
      <c r="BW550" s="113"/>
      <c r="BX550" s="113"/>
      <c r="BY550" s="113"/>
      <c r="BZ550" s="113"/>
      <c r="CA550" s="113"/>
      <c r="CB550" s="113"/>
    </row>
    <row r="551" spans="5:80" x14ac:dyDescent="0.25">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c r="AC551" s="113"/>
      <c r="AD551" s="113"/>
      <c r="AE551" s="113"/>
      <c r="AF551" s="113"/>
      <c r="AG551" s="113"/>
      <c r="AH551" s="113"/>
      <c r="AI551" s="113"/>
      <c r="AJ551" s="113"/>
      <c r="AK551" s="113"/>
      <c r="AL551" s="113"/>
      <c r="AM551" s="113"/>
      <c r="AN551" s="113"/>
      <c r="AO551" s="113"/>
      <c r="AP551" s="113"/>
      <c r="AQ551" s="113"/>
      <c r="AR551" s="113"/>
      <c r="AS551" s="113"/>
      <c r="AT551" s="113"/>
      <c r="AU551" s="113"/>
      <c r="AV551" s="113"/>
      <c r="AW551" s="113"/>
      <c r="AX551" s="113"/>
      <c r="AY551" s="113"/>
      <c r="AZ551" s="113"/>
      <c r="BA551" s="113"/>
      <c r="BB551" s="113"/>
      <c r="BC551" s="113"/>
      <c r="BD551" s="113"/>
      <c r="BE551" s="113"/>
      <c r="BF551" s="113"/>
      <c r="BG551" s="113"/>
      <c r="BH551" s="113"/>
      <c r="BI551" s="113"/>
      <c r="BJ551" s="113"/>
      <c r="BK551" s="113"/>
      <c r="BL551" s="113"/>
      <c r="BM551" s="113"/>
      <c r="BN551" s="113"/>
      <c r="BO551" s="113"/>
      <c r="BP551" s="113"/>
      <c r="BQ551" s="113"/>
      <c r="BR551" s="113"/>
      <c r="BS551" s="113"/>
      <c r="BT551" s="113"/>
      <c r="BU551" s="113"/>
      <c r="BV551" s="113"/>
      <c r="BW551" s="113"/>
      <c r="BX551" s="113"/>
      <c r="BY551" s="113"/>
      <c r="BZ551" s="113"/>
      <c r="CA551" s="113"/>
      <c r="CB551" s="113"/>
    </row>
    <row r="552" spans="5:80" x14ac:dyDescent="0.25">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c r="AC552" s="113"/>
      <c r="AD552" s="113"/>
      <c r="AE552" s="113"/>
      <c r="AF552" s="113"/>
      <c r="AG552" s="113"/>
      <c r="AH552" s="113"/>
      <c r="AI552" s="113"/>
      <c r="AJ552" s="113"/>
      <c r="AK552" s="113"/>
      <c r="AL552" s="113"/>
      <c r="AM552" s="113"/>
      <c r="AN552" s="113"/>
      <c r="AO552" s="113"/>
      <c r="AP552" s="113"/>
      <c r="AQ552" s="113"/>
      <c r="AR552" s="113"/>
      <c r="AS552" s="113"/>
      <c r="AT552" s="113"/>
      <c r="AU552" s="113"/>
      <c r="AV552" s="113"/>
      <c r="AW552" s="113"/>
      <c r="AX552" s="113"/>
      <c r="AY552" s="113"/>
      <c r="AZ552" s="113"/>
      <c r="BA552" s="113"/>
      <c r="BB552" s="113"/>
      <c r="BC552" s="113"/>
      <c r="BD552" s="113"/>
      <c r="BE552" s="113"/>
      <c r="BF552" s="113"/>
      <c r="BG552" s="113"/>
      <c r="BH552" s="113"/>
      <c r="BI552" s="113"/>
      <c r="BJ552" s="113"/>
      <c r="BK552" s="113"/>
      <c r="BL552" s="113"/>
      <c r="BM552" s="113"/>
      <c r="BN552" s="113"/>
      <c r="BO552" s="113"/>
      <c r="BP552" s="113"/>
      <c r="BQ552" s="113"/>
      <c r="BR552" s="113"/>
      <c r="BS552" s="113"/>
      <c r="BT552" s="113"/>
      <c r="BU552" s="113"/>
      <c r="BV552" s="113"/>
      <c r="BW552" s="113"/>
      <c r="BX552" s="113"/>
      <c r="BY552" s="113"/>
      <c r="BZ552" s="113"/>
      <c r="CA552" s="113"/>
      <c r="CB552" s="113"/>
    </row>
    <row r="553" spans="5:80" x14ac:dyDescent="0.25">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c r="AC553" s="113"/>
      <c r="AD553" s="113"/>
      <c r="AE553" s="113"/>
      <c r="AF553" s="113"/>
      <c r="AG553" s="113"/>
      <c r="AH553" s="113"/>
      <c r="AI553" s="113"/>
      <c r="AJ553" s="113"/>
      <c r="AK553" s="113"/>
      <c r="AL553" s="113"/>
      <c r="AM553" s="113"/>
      <c r="AN553" s="113"/>
      <c r="AO553" s="113"/>
      <c r="AP553" s="113"/>
      <c r="AQ553" s="113"/>
      <c r="AR553" s="113"/>
      <c r="AS553" s="113"/>
      <c r="AT553" s="113"/>
      <c r="AU553" s="113"/>
      <c r="AV553" s="113"/>
      <c r="AW553" s="113"/>
      <c r="AX553" s="113"/>
      <c r="AY553" s="113"/>
      <c r="AZ553" s="113"/>
      <c r="BA553" s="113"/>
      <c r="BB553" s="113"/>
      <c r="BC553" s="113"/>
      <c r="BD553" s="113"/>
      <c r="BE553" s="113"/>
      <c r="BF553" s="113"/>
      <c r="BG553" s="113"/>
      <c r="BH553" s="113"/>
      <c r="BI553" s="113"/>
      <c r="BJ553" s="113"/>
      <c r="BK553" s="113"/>
      <c r="BL553" s="113"/>
      <c r="BM553" s="113"/>
      <c r="BN553" s="113"/>
      <c r="BO553" s="113"/>
      <c r="BP553" s="113"/>
      <c r="BQ553" s="113"/>
      <c r="BR553" s="113"/>
      <c r="BS553" s="113"/>
      <c r="BT553" s="113"/>
      <c r="BU553" s="113"/>
      <c r="BV553" s="113"/>
      <c r="BW553" s="113"/>
      <c r="BX553" s="113"/>
      <c r="BY553" s="113"/>
      <c r="BZ553" s="113"/>
      <c r="CA553" s="113"/>
      <c r="CB553" s="113"/>
    </row>
    <row r="554" spans="5:80" x14ac:dyDescent="0.25">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c r="AC554" s="113"/>
      <c r="AD554" s="113"/>
      <c r="AE554" s="113"/>
      <c r="AF554" s="113"/>
      <c r="AG554" s="113"/>
      <c r="AH554" s="113"/>
      <c r="AI554" s="113"/>
      <c r="AJ554" s="113"/>
      <c r="AK554" s="113"/>
      <c r="AL554" s="113"/>
      <c r="AM554" s="113"/>
      <c r="AN554" s="113"/>
      <c r="AO554" s="113"/>
      <c r="AP554" s="113"/>
      <c r="AQ554" s="113"/>
      <c r="AR554" s="113"/>
      <c r="AS554" s="113"/>
      <c r="AT554" s="113"/>
      <c r="AU554" s="113"/>
      <c r="AV554" s="113"/>
      <c r="AW554" s="113"/>
      <c r="AX554" s="113"/>
      <c r="AY554" s="113"/>
      <c r="AZ554" s="113"/>
      <c r="BA554" s="113"/>
      <c r="BB554" s="113"/>
      <c r="BC554" s="113"/>
      <c r="BD554" s="113"/>
      <c r="BE554" s="113"/>
      <c r="BF554" s="113"/>
      <c r="BG554" s="113"/>
      <c r="BH554" s="113"/>
      <c r="BI554" s="113"/>
      <c r="BJ554" s="113"/>
      <c r="BK554" s="113"/>
      <c r="BL554" s="113"/>
      <c r="BM554" s="113"/>
      <c r="BN554" s="113"/>
      <c r="BO554" s="113"/>
      <c r="BP554" s="113"/>
      <c r="BQ554" s="113"/>
      <c r="BR554" s="113"/>
      <c r="BS554" s="113"/>
      <c r="BT554" s="113"/>
      <c r="BU554" s="113"/>
      <c r="BV554" s="113"/>
      <c r="BW554" s="113"/>
      <c r="BX554" s="113"/>
      <c r="BY554" s="113"/>
      <c r="BZ554" s="113"/>
      <c r="CA554" s="113"/>
      <c r="CB554" s="113"/>
    </row>
    <row r="555" spans="5:80" x14ac:dyDescent="0.25">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c r="AC555" s="113"/>
      <c r="AD555" s="113"/>
      <c r="AE555" s="113"/>
      <c r="AF555" s="113"/>
      <c r="AG555" s="113"/>
      <c r="AH555" s="113"/>
      <c r="AI555" s="113"/>
      <c r="AJ555" s="113"/>
      <c r="AK555" s="113"/>
      <c r="AL555" s="113"/>
      <c r="AM555" s="113"/>
      <c r="AN555" s="113"/>
      <c r="AO555" s="113"/>
      <c r="AP555" s="113"/>
      <c r="AQ555" s="113"/>
      <c r="AR555" s="113"/>
      <c r="AS555" s="113"/>
      <c r="AT555" s="113"/>
      <c r="AU555" s="113"/>
      <c r="AV555" s="113"/>
      <c r="AW555" s="113"/>
      <c r="AX555" s="113"/>
      <c r="AY555" s="113"/>
      <c r="AZ555" s="113"/>
      <c r="BA555" s="113"/>
      <c r="BB555" s="113"/>
      <c r="BC555" s="113"/>
      <c r="BD555" s="113"/>
      <c r="BE555" s="113"/>
      <c r="BF555" s="113"/>
      <c r="BG555" s="113"/>
      <c r="BH555" s="113"/>
      <c r="BI555" s="113"/>
      <c r="BJ555" s="113"/>
      <c r="BK555" s="113"/>
      <c r="BL555" s="113"/>
      <c r="BM555" s="113"/>
      <c r="BN555" s="113"/>
      <c r="BO555" s="113"/>
      <c r="BP555" s="113"/>
      <c r="BQ555" s="113"/>
      <c r="BR555" s="113"/>
      <c r="BS555" s="113"/>
      <c r="BT555" s="113"/>
      <c r="BU555" s="113"/>
      <c r="BV555" s="113"/>
      <c r="BW555" s="113"/>
      <c r="BX555" s="113"/>
      <c r="BY555" s="113"/>
      <c r="BZ555" s="113"/>
      <c r="CA555" s="113"/>
      <c r="CB555" s="113"/>
    </row>
    <row r="556" spans="5:80" x14ac:dyDescent="0.25">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c r="AC556" s="113"/>
      <c r="AD556" s="113"/>
      <c r="AE556" s="113"/>
      <c r="AF556" s="113"/>
      <c r="AG556" s="113"/>
      <c r="AH556" s="113"/>
      <c r="AI556" s="113"/>
      <c r="AJ556" s="113"/>
      <c r="AK556" s="113"/>
      <c r="AL556" s="113"/>
      <c r="AM556" s="113"/>
      <c r="AN556" s="113"/>
      <c r="AO556" s="113"/>
      <c r="AP556" s="113"/>
      <c r="AQ556" s="113"/>
      <c r="AR556" s="113"/>
      <c r="AS556" s="113"/>
      <c r="AT556" s="113"/>
      <c r="AU556" s="113"/>
      <c r="AV556" s="113"/>
      <c r="AW556" s="113"/>
      <c r="AX556" s="113"/>
      <c r="AY556" s="113"/>
      <c r="AZ556" s="113"/>
      <c r="BA556" s="113"/>
      <c r="BB556" s="113"/>
      <c r="BC556" s="113"/>
      <c r="BD556" s="113"/>
      <c r="BE556" s="113"/>
      <c r="BF556" s="113"/>
      <c r="BG556" s="113"/>
      <c r="BH556" s="113"/>
      <c r="BI556" s="113"/>
      <c r="BJ556" s="113"/>
      <c r="BK556" s="113"/>
      <c r="BL556" s="113"/>
      <c r="BM556" s="113"/>
      <c r="BN556" s="113"/>
      <c r="BO556" s="113"/>
      <c r="BP556" s="113"/>
      <c r="BQ556" s="113"/>
      <c r="BR556" s="113"/>
      <c r="BS556" s="113"/>
      <c r="BT556" s="113"/>
      <c r="BU556" s="113"/>
      <c r="BV556" s="113"/>
      <c r="BW556" s="113"/>
      <c r="BX556" s="113"/>
      <c r="BY556" s="113"/>
      <c r="BZ556" s="113"/>
      <c r="CA556" s="113"/>
      <c r="CB556" s="113"/>
    </row>
    <row r="557" spans="5:80" x14ac:dyDescent="0.25">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c r="AC557" s="113"/>
      <c r="AD557" s="113"/>
      <c r="AE557" s="113"/>
      <c r="AF557" s="113"/>
      <c r="AG557" s="113"/>
      <c r="AH557" s="113"/>
      <c r="AI557" s="113"/>
      <c r="AJ557" s="113"/>
      <c r="AK557" s="113"/>
      <c r="AL557" s="113"/>
      <c r="AM557" s="113"/>
      <c r="AN557" s="113"/>
      <c r="AO557" s="113"/>
      <c r="AP557" s="113"/>
      <c r="AQ557" s="113"/>
      <c r="AR557" s="113"/>
      <c r="AS557" s="113"/>
      <c r="AT557" s="113"/>
      <c r="AU557" s="113"/>
      <c r="AV557" s="113"/>
      <c r="AW557" s="113"/>
      <c r="AX557" s="113"/>
      <c r="AY557" s="113"/>
      <c r="AZ557" s="113"/>
      <c r="BA557" s="113"/>
      <c r="BB557" s="113"/>
      <c r="BC557" s="113"/>
      <c r="BD557" s="113"/>
      <c r="BE557" s="113"/>
      <c r="BF557" s="113"/>
      <c r="BG557" s="113"/>
      <c r="BH557" s="113"/>
      <c r="BI557" s="113"/>
      <c r="BJ557" s="113"/>
      <c r="BK557" s="113"/>
      <c r="BL557" s="113"/>
      <c r="BM557" s="113"/>
      <c r="BN557" s="113"/>
      <c r="BO557" s="113"/>
      <c r="BP557" s="113"/>
      <c r="BQ557" s="113"/>
      <c r="BR557" s="113"/>
      <c r="BS557" s="113"/>
      <c r="BT557" s="113"/>
      <c r="BU557" s="113"/>
      <c r="BV557" s="113"/>
      <c r="BW557" s="113"/>
      <c r="BX557" s="113"/>
      <c r="BY557" s="113"/>
      <c r="BZ557" s="113"/>
      <c r="CA557" s="113"/>
      <c r="CB557" s="113"/>
    </row>
    <row r="558" spans="5:80" x14ac:dyDescent="0.25">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c r="AC558" s="113"/>
      <c r="AD558" s="113"/>
      <c r="AE558" s="113"/>
      <c r="AF558" s="113"/>
      <c r="AG558" s="113"/>
      <c r="AH558" s="113"/>
      <c r="AI558" s="113"/>
      <c r="AJ558" s="113"/>
      <c r="AK558" s="113"/>
      <c r="AL558" s="113"/>
      <c r="AM558" s="113"/>
      <c r="AN558" s="113"/>
      <c r="AO558" s="113"/>
      <c r="AP558" s="113"/>
      <c r="AQ558" s="113"/>
      <c r="AR558" s="113"/>
      <c r="AS558" s="113"/>
      <c r="AT558" s="113"/>
      <c r="AU558" s="113"/>
      <c r="AV558" s="113"/>
      <c r="AW558" s="113"/>
      <c r="AX558" s="113"/>
      <c r="AY558" s="113"/>
      <c r="AZ558" s="113"/>
      <c r="BA558" s="113"/>
      <c r="BB558" s="113"/>
      <c r="BC558" s="113"/>
      <c r="BD558" s="113"/>
      <c r="BE558" s="113"/>
      <c r="BF558" s="113"/>
      <c r="BG558" s="113"/>
      <c r="BH558" s="113"/>
      <c r="BI558" s="113"/>
      <c r="BJ558" s="113"/>
      <c r="BK558" s="113"/>
      <c r="BL558" s="113"/>
      <c r="BM558" s="113"/>
      <c r="BN558" s="113"/>
      <c r="BO558" s="113"/>
      <c r="BP558" s="113"/>
      <c r="BQ558" s="113"/>
      <c r="BR558" s="113"/>
      <c r="BS558" s="113"/>
      <c r="BT558" s="113"/>
      <c r="BU558" s="113"/>
      <c r="BV558" s="113"/>
      <c r="BW558" s="113"/>
      <c r="BX558" s="113"/>
      <c r="BY558" s="113"/>
      <c r="BZ558" s="113"/>
      <c r="CA558" s="113"/>
      <c r="CB558" s="113"/>
    </row>
    <row r="559" spans="5:80" x14ac:dyDescent="0.25">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c r="AC559" s="113"/>
      <c r="AD559" s="113"/>
      <c r="AE559" s="113"/>
      <c r="AF559" s="113"/>
      <c r="AG559" s="113"/>
      <c r="AH559" s="113"/>
      <c r="AI559" s="113"/>
      <c r="AJ559" s="113"/>
      <c r="AK559" s="113"/>
      <c r="AL559" s="113"/>
      <c r="AM559" s="113"/>
      <c r="AN559" s="113"/>
      <c r="AO559" s="113"/>
      <c r="AP559" s="113"/>
      <c r="AQ559" s="113"/>
      <c r="AR559" s="113"/>
      <c r="AS559" s="113"/>
      <c r="AT559" s="113"/>
      <c r="AU559" s="113"/>
      <c r="AV559" s="113"/>
      <c r="AW559" s="113"/>
      <c r="AX559" s="113"/>
      <c r="AY559" s="113"/>
      <c r="AZ559" s="113"/>
      <c r="BA559" s="113"/>
      <c r="BB559" s="113"/>
      <c r="BC559" s="113"/>
      <c r="BD559" s="113"/>
      <c r="BE559" s="113"/>
      <c r="BF559" s="113"/>
      <c r="BG559" s="113"/>
      <c r="BH559" s="113"/>
      <c r="BI559" s="113"/>
      <c r="BJ559" s="113"/>
      <c r="BK559" s="113"/>
      <c r="BL559" s="113"/>
      <c r="BM559" s="113"/>
      <c r="BN559" s="113"/>
      <c r="BO559" s="113"/>
      <c r="BP559" s="113"/>
      <c r="BQ559" s="113"/>
      <c r="BR559" s="113"/>
      <c r="BS559" s="113"/>
      <c r="BT559" s="113"/>
      <c r="BU559" s="113"/>
      <c r="BV559" s="113"/>
      <c r="BW559" s="113"/>
      <c r="BX559" s="113"/>
      <c r="BY559" s="113"/>
      <c r="BZ559" s="113"/>
      <c r="CA559" s="113"/>
      <c r="CB559" s="113"/>
    </row>
    <row r="560" spans="5:80" x14ac:dyDescent="0.25">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c r="AC560" s="113"/>
      <c r="AD560" s="113"/>
      <c r="AE560" s="113"/>
      <c r="AF560" s="113"/>
      <c r="AG560" s="113"/>
      <c r="AH560" s="113"/>
      <c r="AI560" s="113"/>
      <c r="AJ560" s="113"/>
      <c r="AK560" s="113"/>
      <c r="AL560" s="113"/>
      <c r="AM560" s="113"/>
      <c r="AN560" s="113"/>
      <c r="AO560" s="113"/>
      <c r="AP560" s="113"/>
      <c r="AQ560" s="113"/>
      <c r="AR560" s="113"/>
      <c r="AS560" s="113"/>
      <c r="AT560" s="113"/>
      <c r="AU560" s="113"/>
      <c r="AV560" s="113"/>
      <c r="AW560" s="113"/>
      <c r="AX560" s="113"/>
      <c r="AY560" s="113"/>
      <c r="AZ560" s="113"/>
      <c r="BA560" s="113"/>
      <c r="BB560" s="113"/>
      <c r="BC560" s="113"/>
      <c r="BD560" s="113"/>
      <c r="BE560" s="113"/>
      <c r="BF560" s="113"/>
      <c r="BG560" s="113"/>
      <c r="BH560" s="113"/>
      <c r="BI560" s="113"/>
      <c r="BJ560" s="113"/>
      <c r="BK560" s="113"/>
      <c r="BL560" s="113"/>
      <c r="BM560" s="113"/>
      <c r="BN560" s="113"/>
      <c r="BO560" s="113"/>
      <c r="BP560" s="113"/>
      <c r="BQ560" s="113"/>
      <c r="BR560" s="113"/>
      <c r="BS560" s="113"/>
      <c r="BT560" s="113"/>
      <c r="BU560" s="113"/>
      <c r="BV560" s="113"/>
      <c r="BW560" s="113"/>
      <c r="BX560" s="113"/>
      <c r="BY560" s="113"/>
      <c r="BZ560" s="113"/>
      <c r="CA560" s="113"/>
      <c r="CB560" s="113"/>
    </row>
    <row r="561" spans="5:80" x14ac:dyDescent="0.25">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c r="AC561" s="113"/>
      <c r="AD561" s="113"/>
      <c r="AE561" s="113"/>
      <c r="AF561" s="113"/>
      <c r="AG561" s="113"/>
      <c r="AH561" s="113"/>
      <c r="AI561" s="113"/>
      <c r="AJ561" s="113"/>
      <c r="AK561" s="113"/>
      <c r="AL561" s="113"/>
      <c r="AM561" s="113"/>
      <c r="AN561" s="113"/>
      <c r="AO561" s="113"/>
      <c r="AP561" s="113"/>
      <c r="AQ561" s="113"/>
      <c r="AR561" s="113"/>
      <c r="AS561" s="113"/>
      <c r="AT561" s="113"/>
      <c r="AU561" s="113"/>
      <c r="AV561" s="113"/>
      <c r="AW561" s="113"/>
      <c r="AX561" s="113"/>
      <c r="AY561" s="113"/>
      <c r="AZ561" s="113"/>
      <c r="BA561" s="113"/>
      <c r="BB561" s="113"/>
      <c r="BC561" s="113"/>
      <c r="BD561" s="113"/>
      <c r="BE561" s="113"/>
      <c r="BF561" s="113"/>
      <c r="BG561" s="113"/>
      <c r="BH561" s="113"/>
      <c r="BI561" s="113"/>
      <c r="BJ561" s="113"/>
      <c r="BK561" s="113"/>
      <c r="BL561" s="113"/>
      <c r="BM561" s="113"/>
      <c r="BN561" s="113"/>
      <c r="BO561" s="113"/>
      <c r="BP561" s="113"/>
      <c r="BQ561" s="113"/>
      <c r="BR561" s="113"/>
      <c r="BS561" s="113"/>
      <c r="BT561" s="113"/>
      <c r="BU561" s="113"/>
      <c r="BV561" s="113"/>
      <c r="BW561" s="113"/>
      <c r="BX561" s="113"/>
      <c r="BY561" s="113"/>
      <c r="BZ561" s="113"/>
      <c r="CA561" s="113"/>
      <c r="CB561" s="113"/>
    </row>
    <row r="562" spans="5:80" x14ac:dyDescent="0.25">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c r="AC562" s="113"/>
      <c r="AD562" s="113"/>
      <c r="AE562" s="113"/>
      <c r="AF562" s="113"/>
      <c r="AG562" s="113"/>
      <c r="AH562" s="113"/>
      <c r="AI562" s="113"/>
      <c r="AJ562" s="113"/>
      <c r="AK562" s="113"/>
      <c r="AL562" s="113"/>
      <c r="AM562" s="113"/>
      <c r="AN562" s="113"/>
      <c r="AO562" s="113"/>
      <c r="AP562" s="113"/>
      <c r="AQ562" s="113"/>
      <c r="AR562" s="113"/>
      <c r="AS562" s="113"/>
      <c r="AT562" s="113"/>
      <c r="AU562" s="113"/>
      <c r="AV562" s="113"/>
      <c r="AW562" s="113"/>
      <c r="AX562" s="113"/>
      <c r="AY562" s="113"/>
      <c r="AZ562" s="113"/>
      <c r="BA562" s="113"/>
      <c r="BB562" s="113"/>
      <c r="BC562" s="113"/>
      <c r="BD562" s="113"/>
      <c r="BE562" s="113"/>
      <c r="BF562" s="113"/>
      <c r="BG562" s="113"/>
      <c r="BH562" s="113"/>
      <c r="BI562" s="113"/>
      <c r="BJ562" s="113"/>
      <c r="BK562" s="113"/>
      <c r="BL562" s="113"/>
      <c r="BM562" s="113"/>
      <c r="BN562" s="113"/>
      <c r="BO562" s="113"/>
      <c r="BP562" s="113"/>
      <c r="BQ562" s="113"/>
      <c r="BR562" s="113"/>
      <c r="BS562" s="113"/>
      <c r="BT562" s="113"/>
      <c r="BU562" s="113"/>
      <c r="BV562" s="113"/>
      <c r="BW562" s="113"/>
      <c r="BX562" s="113"/>
      <c r="BY562" s="113"/>
      <c r="BZ562" s="113"/>
      <c r="CA562" s="113"/>
      <c r="CB562" s="113"/>
    </row>
    <row r="563" spans="5:80" x14ac:dyDescent="0.25">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c r="AC563" s="113"/>
      <c r="AD563" s="113"/>
      <c r="AE563" s="113"/>
      <c r="AF563" s="113"/>
      <c r="AG563" s="113"/>
      <c r="AH563" s="113"/>
      <c r="AI563" s="113"/>
      <c r="AJ563" s="113"/>
      <c r="AK563" s="113"/>
      <c r="AL563" s="113"/>
      <c r="AM563" s="113"/>
      <c r="AN563" s="113"/>
      <c r="AO563" s="113"/>
      <c r="AP563" s="113"/>
      <c r="AQ563" s="113"/>
      <c r="AR563" s="113"/>
      <c r="AS563" s="113"/>
      <c r="AT563" s="113"/>
      <c r="AU563" s="113"/>
      <c r="AV563" s="113"/>
      <c r="AW563" s="113"/>
      <c r="AX563" s="113"/>
      <c r="AY563" s="113"/>
      <c r="AZ563" s="113"/>
      <c r="BA563" s="113"/>
      <c r="BB563" s="113"/>
      <c r="BC563" s="113"/>
      <c r="BD563" s="113"/>
      <c r="BE563" s="113"/>
      <c r="BF563" s="113"/>
      <c r="BG563" s="113"/>
      <c r="BH563" s="113"/>
      <c r="BI563" s="113"/>
      <c r="BJ563" s="113"/>
      <c r="BK563" s="113"/>
      <c r="BL563" s="113"/>
      <c r="BM563" s="113"/>
      <c r="BN563" s="113"/>
      <c r="BO563" s="113"/>
      <c r="BP563" s="113"/>
      <c r="BQ563" s="113"/>
      <c r="BR563" s="113"/>
      <c r="BS563" s="113"/>
      <c r="BT563" s="113"/>
      <c r="BU563" s="113"/>
      <c r="BV563" s="113"/>
      <c r="BW563" s="113"/>
      <c r="BX563" s="113"/>
      <c r="BY563" s="113"/>
      <c r="BZ563" s="113"/>
      <c r="CA563" s="113"/>
      <c r="CB563" s="113"/>
    </row>
    <row r="564" spans="5:80" x14ac:dyDescent="0.25">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c r="AC564" s="113"/>
      <c r="AD564" s="113"/>
      <c r="AE564" s="113"/>
      <c r="AF564" s="113"/>
      <c r="AG564" s="113"/>
      <c r="AH564" s="113"/>
      <c r="AI564" s="113"/>
      <c r="AJ564" s="113"/>
      <c r="AK564" s="113"/>
      <c r="AL564" s="113"/>
      <c r="AM564" s="113"/>
      <c r="AN564" s="113"/>
      <c r="AO564" s="113"/>
      <c r="AP564" s="113"/>
      <c r="AQ564" s="113"/>
      <c r="AR564" s="113"/>
      <c r="AS564" s="113"/>
      <c r="AT564" s="113"/>
      <c r="AU564" s="113"/>
      <c r="AV564" s="113"/>
      <c r="AW564" s="113"/>
      <c r="AX564" s="113"/>
      <c r="AY564" s="113"/>
      <c r="AZ564" s="113"/>
      <c r="BA564" s="113"/>
      <c r="BB564" s="113"/>
      <c r="BC564" s="113"/>
      <c r="BD564" s="113"/>
      <c r="BE564" s="113"/>
      <c r="BF564" s="113"/>
      <c r="BG564" s="113"/>
      <c r="BH564" s="113"/>
      <c r="BI564" s="113"/>
      <c r="BJ564" s="113"/>
      <c r="BK564" s="113"/>
      <c r="BL564" s="113"/>
      <c r="BM564" s="113"/>
      <c r="BN564" s="113"/>
      <c r="BO564" s="113"/>
      <c r="BP564" s="113"/>
      <c r="BQ564" s="113"/>
      <c r="BR564" s="113"/>
      <c r="BS564" s="113"/>
      <c r="BT564" s="113"/>
      <c r="BU564" s="113"/>
      <c r="BV564" s="113"/>
      <c r="BW564" s="113"/>
      <c r="BX564" s="113"/>
      <c r="BY564" s="113"/>
      <c r="BZ564" s="113"/>
      <c r="CA564" s="113"/>
      <c r="CB564" s="113"/>
    </row>
    <row r="565" spans="5:80" x14ac:dyDescent="0.25">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c r="AC565" s="113"/>
      <c r="AD565" s="113"/>
      <c r="AE565" s="113"/>
      <c r="AF565" s="113"/>
      <c r="AG565" s="113"/>
      <c r="AH565" s="113"/>
      <c r="AI565" s="113"/>
      <c r="AJ565" s="113"/>
      <c r="AK565" s="113"/>
      <c r="AL565" s="113"/>
      <c r="AM565" s="113"/>
      <c r="AN565" s="113"/>
      <c r="AO565" s="113"/>
      <c r="AP565" s="113"/>
      <c r="AQ565" s="113"/>
      <c r="AR565" s="113"/>
      <c r="AS565" s="113"/>
      <c r="AT565" s="113"/>
      <c r="AU565" s="113"/>
      <c r="AV565" s="113"/>
      <c r="AW565" s="113"/>
      <c r="AX565" s="113"/>
      <c r="AY565" s="113"/>
      <c r="AZ565" s="113"/>
      <c r="BA565" s="113"/>
      <c r="BB565" s="113"/>
      <c r="BC565" s="113"/>
      <c r="BD565" s="113"/>
      <c r="BE565" s="113"/>
      <c r="BF565" s="113"/>
      <c r="BG565" s="113"/>
      <c r="BH565" s="113"/>
      <c r="BI565" s="113"/>
      <c r="BJ565" s="113"/>
      <c r="BK565" s="113"/>
      <c r="BL565" s="113"/>
      <c r="BM565" s="113"/>
      <c r="BN565" s="113"/>
      <c r="BO565" s="113"/>
      <c r="BP565" s="113"/>
      <c r="BQ565" s="113"/>
      <c r="BR565" s="113"/>
      <c r="BS565" s="113"/>
      <c r="BT565" s="113"/>
      <c r="BU565" s="113"/>
      <c r="BV565" s="113"/>
      <c r="BW565" s="113"/>
      <c r="BX565" s="113"/>
      <c r="BY565" s="113"/>
      <c r="BZ565" s="113"/>
      <c r="CA565" s="113"/>
      <c r="CB565" s="113"/>
    </row>
    <row r="566" spans="5:80" x14ac:dyDescent="0.25">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c r="AC566" s="113"/>
      <c r="AD566" s="113"/>
      <c r="AE566" s="113"/>
      <c r="AF566" s="113"/>
      <c r="AG566" s="113"/>
      <c r="AH566" s="113"/>
      <c r="AI566" s="113"/>
      <c r="AJ566" s="113"/>
      <c r="AK566" s="113"/>
      <c r="AL566" s="113"/>
      <c r="AM566" s="113"/>
      <c r="AN566" s="113"/>
      <c r="AO566" s="113"/>
      <c r="AP566" s="113"/>
      <c r="AQ566" s="113"/>
      <c r="AR566" s="113"/>
      <c r="AS566" s="113"/>
      <c r="AT566" s="113"/>
      <c r="AU566" s="113"/>
      <c r="AV566" s="113"/>
      <c r="AW566" s="113"/>
      <c r="AX566" s="113"/>
      <c r="AY566" s="113"/>
      <c r="AZ566" s="113"/>
      <c r="BA566" s="113"/>
      <c r="BB566" s="113"/>
      <c r="BC566" s="113"/>
      <c r="BD566" s="113"/>
      <c r="BE566" s="113"/>
      <c r="BF566" s="113"/>
      <c r="BG566" s="113"/>
      <c r="BH566" s="113"/>
      <c r="BI566" s="113"/>
      <c r="BJ566" s="113"/>
      <c r="BK566" s="113"/>
      <c r="BL566" s="113"/>
      <c r="BM566" s="113"/>
      <c r="BN566" s="113"/>
      <c r="BO566" s="113"/>
      <c r="BP566" s="113"/>
      <c r="BQ566" s="113"/>
      <c r="BR566" s="113"/>
      <c r="BS566" s="113"/>
      <c r="BT566" s="113"/>
      <c r="BU566" s="113"/>
      <c r="BV566" s="113"/>
      <c r="BW566" s="113"/>
      <c r="BX566" s="113"/>
      <c r="BY566" s="113"/>
      <c r="BZ566" s="113"/>
      <c r="CA566" s="113"/>
      <c r="CB566" s="113"/>
    </row>
    <row r="567" spans="5:80" x14ac:dyDescent="0.25">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c r="AC567" s="113"/>
      <c r="AD567" s="113"/>
      <c r="AE567" s="113"/>
      <c r="AF567" s="113"/>
      <c r="AG567" s="113"/>
      <c r="AH567" s="113"/>
      <c r="AI567" s="113"/>
      <c r="AJ567" s="113"/>
      <c r="AK567" s="113"/>
      <c r="AL567" s="113"/>
      <c r="AM567" s="113"/>
      <c r="AN567" s="113"/>
      <c r="AO567" s="113"/>
      <c r="AP567" s="113"/>
      <c r="AQ567" s="113"/>
      <c r="AR567" s="113"/>
      <c r="AS567" s="113"/>
      <c r="AT567" s="113"/>
      <c r="AU567" s="113"/>
      <c r="AV567" s="113"/>
      <c r="AW567" s="113"/>
      <c r="AX567" s="113"/>
      <c r="AY567" s="113"/>
      <c r="AZ567" s="113"/>
      <c r="BA567" s="113"/>
      <c r="BB567" s="113"/>
      <c r="BC567" s="113"/>
      <c r="BD567" s="113"/>
      <c r="BE567" s="113"/>
      <c r="BF567" s="113"/>
      <c r="BG567" s="113"/>
      <c r="BH567" s="113"/>
      <c r="BI567" s="113"/>
      <c r="BJ567" s="113"/>
      <c r="BK567" s="113"/>
      <c r="BL567" s="113"/>
      <c r="BM567" s="113"/>
      <c r="BN567" s="113"/>
      <c r="BO567" s="113"/>
      <c r="BP567" s="113"/>
      <c r="BQ567" s="113"/>
      <c r="BR567" s="113"/>
      <c r="BS567" s="113"/>
      <c r="BT567" s="113"/>
      <c r="BU567" s="113"/>
      <c r="BV567" s="113"/>
      <c r="BW567" s="113"/>
      <c r="BX567" s="113"/>
      <c r="BY567" s="113"/>
      <c r="BZ567" s="113"/>
      <c r="CA567" s="113"/>
      <c r="CB567" s="113"/>
    </row>
    <row r="568" spans="5:80" x14ac:dyDescent="0.25">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c r="AC568" s="113"/>
      <c r="AD568" s="113"/>
      <c r="AE568" s="113"/>
      <c r="AF568" s="113"/>
      <c r="AG568" s="113"/>
      <c r="AH568" s="113"/>
      <c r="AI568" s="113"/>
      <c r="AJ568" s="113"/>
      <c r="AK568" s="113"/>
      <c r="AL568" s="113"/>
      <c r="AM568" s="113"/>
      <c r="AN568" s="113"/>
      <c r="AO568" s="113"/>
      <c r="AP568" s="113"/>
      <c r="AQ568" s="113"/>
      <c r="AR568" s="113"/>
      <c r="AS568" s="113"/>
      <c r="AT568" s="113"/>
      <c r="AU568" s="113"/>
      <c r="AV568" s="113"/>
      <c r="AW568" s="113"/>
      <c r="AX568" s="113"/>
      <c r="AY568" s="113"/>
      <c r="AZ568" s="113"/>
      <c r="BA568" s="113"/>
      <c r="BB568" s="113"/>
      <c r="BC568" s="113"/>
      <c r="BD568" s="113"/>
      <c r="BE568" s="113"/>
      <c r="BF568" s="113"/>
      <c r="BG568" s="113"/>
      <c r="BH568" s="113"/>
      <c r="BI568" s="113"/>
      <c r="BJ568" s="113"/>
      <c r="BK568" s="113"/>
      <c r="BL568" s="113"/>
      <c r="BM568" s="113"/>
      <c r="BN568" s="113"/>
      <c r="BO568" s="113"/>
      <c r="BP568" s="113"/>
      <c r="BQ568" s="113"/>
      <c r="BR568" s="113"/>
      <c r="BS568" s="113"/>
      <c r="BT568" s="113"/>
      <c r="BU568" s="113"/>
      <c r="BV568" s="113"/>
      <c r="BW568" s="113"/>
      <c r="BX568" s="113"/>
      <c r="BY568" s="113"/>
      <c r="BZ568" s="113"/>
      <c r="CA568" s="113"/>
      <c r="CB568" s="113"/>
    </row>
    <row r="569" spans="5:80" x14ac:dyDescent="0.25">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c r="AC569" s="113"/>
      <c r="AD569" s="113"/>
      <c r="AE569" s="113"/>
      <c r="AF569" s="113"/>
      <c r="AG569" s="113"/>
      <c r="AH569" s="113"/>
      <c r="AI569" s="113"/>
      <c r="AJ569" s="113"/>
      <c r="AK569" s="113"/>
      <c r="AL569" s="113"/>
      <c r="AM569" s="113"/>
      <c r="AN569" s="113"/>
      <c r="AO569" s="113"/>
      <c r="AP569" s="113"/>
      <c r="AQ569" s="113"/>
      <c r="AR569" s="113"/>
      <c r="AS569" s="113"/>
      <c r="AT569" s="113"/>
      <c r="AU569" s="113"/>
      <c r="AV569" s="113"/>
      <c r="AW569" s="113"/>
      <c r="AX569" s="113"/>
      <c r="AY569" s="113"/>
      <c r="AZ569" s="113"/>
      <c r="BA569" s="113"/>
      <c r="BB569" s="113"/>
      <c r="BC569" s="113"/>
      <c r="BD569" s="113"/>
      <c r="BE569" s="113"/>
      <c r="BF569" s="113"/>
      <c r="BG569" s="113"/>
      <c r="BH569" s="113"/>
      <c r="BI569" s="113"/>
      <c r="BJ569" s="113"/>
      <c r="BK569" s="113"/>
      <c r="BL569" s="113"/>
      <c r="BM569" s="113"/>
      <c r="BN569" s="113"/>
      <c r="BO569" s="113"/>
      <c r="BP569" s="113"/>
      <c r="BQ569" s="113"/>
      <c r="BR569" s="113"/>
      <c r="BS569" s="113"/>
      <c r="BT569" s="113"/>
      <c r="BU569" s="113"/>
      <c r="BV569" s="113"/>
      <c r="BW569" s="113"/>
      <c r="BX569" s="113"/>
      <c r="BY569" s="113"/>
      <c r="BZ569" s="113"/>
      <c r="CA569" s="113"/>
      <c r="CB569" s="113"/>
    </row>
    <row r="570" spans="5:80" x14ac:dyDescent="0.25">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c r="AC570" s="113"/>
      <c r="AD570" s="113"/>
      <c r="AE570" s="113"/>
      <c r="AF570" s="113"/>
      <c r="AG570" s="113"/>
      <c r="AH570" s="113"/>
      <c r="AI570" s="113"/>
      <c r="AJ570" s="113"/>
      <c r="AK570" s="113"/>
      <c r="AL570" s="113"/>
      <c r="AM570" s="113"/>
      <c r="AN570" s="113"/>
      <c r="AO570" s="113"/>
      <c r="AP570" s="113"/>
      <c r="AQ570" s="113"/>
      <c r="AR570" s="113"/>
      <c r="AS570" s="113"/>
      <c r="AT570" s="113"/>
      <c r="AU570" s="113"/>
      <c r="AV570" s="113"/>
      <c r="AW570" s="113"/>
      <c r="AX570" s="113"/>
      <c r="AY570" s="113"/>
      <c r="AZ570" s="113"/>
      <c r="BA570" s="113"/>
      <c r="BB570" s="113"/>
      <c r="BC570" s="113"/>
      <c r="BD570" s="113"/>
      <c r="BE570" s="113"/>
      <c r="BF570" s="113"/>
      <c r="BG570" s="113"/>
      <c r="BH570" s="113"/>
      <c r="BI570" s="113"/>
      <c r="BJ570" s="113"/>
      <c r="BK570" s="113"/>
      <c r="BL570" s="113"/>
      <c r="BM570" s="113"/>
      <c r="BN570" s="113"/>
      <c r="BO570" s="113"/>
      <c r="BP570" s="113"/>
      <c r="BQ570" s="113"/>
      <c r="BR570" s="113"/>
      <c r="BS570" s="113"/>
      <c r="BT570" s="113"/>
      <c r="BU570" s="113"/>
      <c r="BV570" s="113"/>
      <c r="BW570" s="113"/>
      <c r="BX570" s="113"/>
      <c r="BY570" s="113"/>
      <c r="BZ570" s="113"/>
      <c r="CA570" s="113"/>
      <c r="CB570" s="113"/>
    </row>
    <row r="571" spans="5:80" x14ac:dyDescent="0.25">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c r="AC571" s="113"/>
      <c r="AD571" s="113"/>
      <c r="AE571" s="113"/>
      <c r="AF571" s="113"/>
      <c r="AG571" s="113"/>
      <c r="AH571" s="113"/>
      <c r="AI571" s="113"/>
      <c r="AJ571" s="113"/>
      <c r="AK571" s="113"/>
      <c r="AL571" s="113"/>
      <c r="AM571" s="113"/>
      <c r="AN571" s="113"/>
      <c r="AO571" s="113"/>
      <c r="AP571" s="113"/>
      <c r="AQ571" s="113"/>
      <c r="AR571" s="113"/>
      <c r="AS571" s="113"/>
      <c r="AT571" s="113"/>
      <c r="AU571" s="113"/>
      <c r="AV571" s="113"/>
      <c r="AW571" s="113"/>
      <c r="AX571" s="113"/>
      <c r="AY571" s="113"/>
      <c r="AZ571" s="113"/>
      <c r="BA571" s="113"/>
      <c r="BB571" s="113"/>
      <c r="BC571" s="113"/>
      <c r="BD571" s="113"/>
      <c r="BE571" s="113"/>
      <c r="BF571" s="113"/>
      <c r="BG571" s="113"/>
      <c r="BH571" s="113"/>
      <c r="BI571" s="113"/>
      <c r="BJ571" s="113"/>
      <c r="BK571" s="113"/>
      <c r="BL571" s="113"/>
      <c r="BM571" s="113"/>
      <c r="BN571" s="113"/>
      <c r="BO571" s="113"/>
      <c r="BP571" s="113"/>
      <c r="BQ571" s="113"/>
      <c r="BR571" s="113"/>
      <c r="BS571" s="113"/>
      <c r="BT571" s="113"/>
      <c r="BU571" s="113"/>
      <c r="BV571" s="113"/>
      <c r="BW571" s="113"/>
      <c r="BX571" s="113"/>
      <c r="BY571" s="113"/>
      <c r="BZ571" s="113"/>
      <c r="CA571" s="113"/>
      <c r="CB571" s="113"/>
    </row>
    <row r="572" spans="5:80" x14ac:dyDescent="0.25">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c r="AC572" s="113"/>
      <c r="AD572" s="113"/>
      <c r="AE572" s="113"/>
      <c r="AF572" s="113"/>
      <c r="AG572" s="113"/>
      <c r="AH572" s="113"/>
      <c r="AI572" s="113"/>
      <c r="AJ572" s="113"/>
      <c r="AK572" s="113"/>
      <c r="AL572" s="113"/>
      <c r="AM572" s="113"/>
      <c r="AN572" s="113"/>
      <c r="AO572" s="113"/>
      <c r="AP572" s="113"/>
      <c r="AQ572" s="113"/>
      <c r="AR572" s="113"/>
      <c r="AS572" s="113"/>
      <c r="AT572" s="113"/>
      <c r="AU572" s="113"/>
      <c r="AV572" s="113"/>
      <c r="AW572" s="113"/>
      <c r="AX572" s="113"/>
      <c r="AY572" s="113"/>
      <c r="AZ572" s="113"/>
      <c r="BA572" s="113"/>
      <c r="BB572" s="113"/>
      <c r="BC572" s="113"/>
      <c r="BD572" s="113"/>
      <c r="BE572" s="113"/>
      <c r="BF572" s="113"/>
      <c r="BG572" s="113"/>
      <c r="BH572" s="113"/>
      <c r="BI572" s="113"/>
      <c r="BJ572" s="113"/>
      <c r="BK572" s="113"/>
      <c r="BL572" s="113"/>
      <c r="BM572" s="113"/>
      <c r="BN572" s="113"/>
      <c r="BO572" s="113"/>
      <c r="BP572" s="113"/>
      <c r="BQ572" s="113"/>
      <c r="BR572" s="113"/>
      <c r="BS572" s="113"/>
      <c r="BT572" s="113"/>
      <c r="BU572" s="113"/>
      <c r="BV572" s="113"/>
      <c r="BW572" s="113"/>
      <c r="BX572" s="113"/>
      <c r="BY572" s="113"/>
      <c r="BZ572" s="113"/>
      <c r="CA572" s="113"/>
      <c r="CB572" s="113"/>
    </row>
    <row r="573" spans="5:80" x14ac:dyDescent="0.25">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c r="AC573" s="113"/>
      <c r="AD573" s="113"/>
      <c r="AE573" s="113"/>
      <c r="AF573" s="113"/>
      <c r="AG573" s="113"/>
      <c r="AH573" s="113"/>
      <c r="AI573" s="113"/>
      <c r="AJ573" s="113"/>
      <c r="AK573" s="113"/>
      <c r="AL573" s="113"/>
      <c r="AM573" s="113"/>
      <c r="AN573" s="113"/>
      <c r="AO573" s="113"/>
      <c r="AP573" s="113"/>
      <c r="AQ573" s="113"/>
      <c r="AR573" s="113"/>
      <c r="AS573" s="113"/>
      <c r="AT573" s="113"/>
      <c r="AU573" s="113"/>
      <c r="AV573" s="113"/>
      <c r="AW573" s="113"/>
      <c r="AX573" s="113"/>
      <c r="AY573" s="113"/>
      <c r="AZ573" s="113"/>
      <c r="BA573" s="113"/>
      <c r="BB573" s="113"/>
      <c r="BC573" s="113"/>
      <c r="BD573" s="113"/>
      <c r="BE573" s="113"/>
      <c r="BF573" s="113"/>
      <c r="BG573" s="113"/>
      <c r="BH573" s="113"/>
      <c r="BI573" s="113"/>
      <c r="BJ573" s="113"/>
      <c r="BK573" s="113"/>
      <c r="BL573" s="113"/>
      <c r="BM573" s="113"/>
      <c r="BN573" s="113"/>
      <c r="BO573" s="113"/>
      <c r="BP573" s="113"/>
      <c r="BQ573" s="113"/>
      <c r="BR573" s="113"/>
      <c r="BS573" s="113"/>
      <c r="BT573" s="113"/>
      <c r="BU573" s="113"/>
      <c r="BV573" s="113"/>
      <c r="BW573" s="113"/>
      <c r="BX573" s="113"/>
      <c r="BY573" s="113"/>
      <c r="BZ573" s="113"/>
      <c r="CA573" s="113"/>
      <c r="CB573" s="113"/>
    </row>
    <row r="574" spans="5:80" x14ac:dyDescent="0.25">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c r="AC574" s="113"/>
      <c r="AD574" s="113"/>
      <c r="AE574" s="113"/>
      <c r="AF574" s="113"/>
      <c r="AG574" s="113"/>
      <c r="AH574" s="113"/>
      <c r="AI574" s="113"/>
      <c r="AJ574" s="113"/>
      <c r="AK574" s="113"/>
      <c r="AL574" s="113"/>
      <c r="AM574" s="113"/>
      <c r="AN574" s="113"/>
      <c r="AO574" s="113"/>
      <c r="AP574" s="113"/>
      <c r="AQ574" s="113"/>
      <c r="AR574" s="113"/>
      <c r="AS574" s="113"/>
      <c r="AT574" s="113"/>
      <c r="AU574" s="113"/>
      <c r="AV574" s="113"/>
      <c r="AW574" s="113"/>
      <c r="AX574" s="113"/>
      <c r="AY574" s="113"/>
      <c r="AZ574" s="113"/>
      <c r="BA574" s="113"/>
      <c r="BB574" s="113"/>
      <c r="BC574" s="113"/>
      <c r="BD574" s="113"/>
      <c r="BE574" s="113"/>
      <c r="BF574" s="113"/>
      <c r="BG574" s="113"/>
      <c r="BH574" s="113"/>
      <c r="BI574" s="113"/>
      <c r="BJ574" s="113"/>
      <c r="BK574" s="113"/>
      <c r="BL574" s="113"/>
      <c r="BM574" s="113"/>
      <c r="BN574" s="113"/>
      <c r="BO574" s="113"/>
      <c r="BP574" s="113"/>
      <c r="BQ574" s="113"/>
      <c r="BR574" s="113"/>
      <c r="BS574" s="113"/>
      <c r="BT574" s="113"/>
      <c r="BU574" s="113"/>
      <c r="BV574" s="113"/>
      <c r="BW574" s="113"/>
      <c r="BX574" s="113"/>
      <c r="BY574" s="113"/>
      <c r="BZ574" s="113"/>
      <c r="CA574" s="113"/>
      <c r="CB574" s="113"/>
    </row>
    <row r="575" spans="5:80" x14ac:dyDescent="0.25">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c r="AC575" s="113"/>
      <c r="AD575" s="113"/>
      <c r="AE575" s="113"/>
      <c r="AF575" s="113"/>
      <c r="AG575" s="113"/>
      <c r="AH575" s="113"/>
      <c r="AI575" s="113"/>
      <c r="AJ575" s="113"/>
      <c r="AK575" s="113"/>
      <c r="AL575" s="113"/>
      <c r="AM575" s="113"/>
      <c r="AN575" s="113"/>
      <c r="AO575" s="113"/>
      <c r="AP575" s="113"/>
      <c r="AQ575" s="113"/>
      <c r="AR575" s="113"/>
      <c r="AS575" s="113"/>
      <c r="AT575" s="113"/>
      <c r="AU575" s="113"/>
      <c r="AV575" s="113"/>
      <c r="AW575" s="113"/>
      <c r="AX575" s="113"/>
      <c r="AY575" s="113"/>
      <c r="AZ575" s="113"/>
      <c r="BA575" s="113"/>
      <c r="BB575" s="113"/>
      <c r="BC575" s="113"/>
      <c r="BD575" s="113"/>
      <c r="BE575" s="113"/>
      <c r="BF575" s="113"/>
      <c r="BG575" s="113"/>
      <c r="BH575" s="113"/>
      <c r="BI575" s="113"/>
      <c r="BJ575" s="113"/>
      <c r="BK575" s="113"/>
      <c r="BL575" s="113"/>
      <c r="BM575" s="113"/>
      <c r="BN575" s="113"/>
      <c r="BO575" s="113"/>
      <c r="BP575" s="113"/>
      <c r="BQ575" s="113"/>
      <c r="BR575" s="113"/>
      <c r="BS575" s="113"/>
      <c r="BT575" s="113"/>
      <c r="BU575" s="113"/>
      <c r="BV575" s="113"/>
      <c r="BW575" s="113"/>
      <c r="BX575" s="113"/>
      <c r="BY575" s="113"/>
      <c r="BZ575" s="113"/>
      <c r="CA575" s="113"/>
      <c r="CB575" s="113"/>
    </row>
    <row r="576" spans="5:80" x14ac:dyDescent="0.25">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c r="AC576" s="113"/>
      <c r="AD576" s="113"/>
      <c r="AE576" s="113"/>
      <c r="AF576" s="113"/>
      <c r="AG576" s="113"/>
      <c r="AH576" s="113"/>
      <c r="AI576" s="113"/>
      <c r="AJ576" s="113"/>
      <c r="AK576" s="113"/>
      <c r="AL576" s="113"/>
      <c r="AM576" s="113"/>
      <c r="AN576" s="113"/>
      <c r="AO576" s="113"/>
      <c r="AP576" s="113"/>
      <c r="AQ576" s="113"/>
      <c r="AR576" s="113"/>
      <c r="AS576" s="113"/>
      <c r="AT576" s="113"/>
      <c r="AU576" s="113"/>
      <c r="AV576" s="113"/>
      <c r="AW576" s="113"/>
      <c r="AX576" s="113"/>
      <c r="AY576" s="113"/>
      <c r="AZ576" s="113"/>
      <c r="BA576" s="113"/>
      <c r="BB576" s="113"/>
      <c r="BC576" s="113"/>
      <c r="BD576" s="113"/>
      <c r="BE576" s="113"/>
      <c r="BF576" s="113"/>
      <c r="BG576" s="113"/>
      <c r="BH576" s="113"/>
      <c r="BI576" s="113"/>
      <c r="BJ576" s="113"/>
      <c r="BK576" s="113"/>
      <c r="BL576" s="113"/>
      <c r="BM576" s="113"/>
      <c r="BN576" s="113"/>
      <c r="BO576" s="113"/>
      <c r="BP576" s="113"/>
      <c r="BQ576" s="113"/>
      <c r="BR576" s="113"/>
      <c r="BS576" s="113"/>
      <c r="BT576" s="113"/>
      <c r="BU576" s="113"/>
      <c r="BV576" s="113"/>
      <c r="BW576" s="113"/>
      <c r="BX576" s="113"/>
      <c r="BY576" s="113"/>
      <c r="BZ576" s="113"/>
      <c r="CA576" s="113"/>
      <c r="CB576" s="113"/>
    </row>
    <row r="577" spans="5:80" x14ac:dyDescent="0.25">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c r="AC577" s="113"/>
      <c r="AD577" s="113"/>
      <c r="AE577" s="113"/>
      <c r="AF577" s="113"/>
      <c r="AG577" s="113"/>
      <c r="AH577" s="113"/>
      <c r="AI577" s="113"/>
      <c r="AJ577" s="113"/>
      <c r="AK577" s="113"/>
      <c r="AL577" s="113"/>
      <c r="AM577" s="113"/>
      <c r="AN577" s="113"/>
      <c r="AO577" s="113"/>
      <c r="AP577" s="113"/>
      <c r="AQ577" s="113"/>
      <c r="AR577" s="113"/>
      <c r="AS577" s="113"/>
      <c r="AT577" s="113"/>
      <c r="AU577" s="113"/>
      <c r="AV577" s="113"/>
      <c r="AW577" s="113"/>
      <c r="AX577" s="113"/>
      <c r="AY577" s="113"/>
      <c r="AZ577" s="113"/>
      <c r="BA577" s="113"/>
      <c r="BB577" s="113"/>
      <c r="BC577" s="113"/>
      <c r="BD577" s="113"/>
      <c r="BE577" s="113"/>
      <c r="BF577" s="113"/>
      <c r="BG577" s="113"/>
      <c r="BH577" s="113"/>
      <c r="BI577" s="113"/>
      <c r="BJ577" s="113"/>
      <c r="BK577" s="113"/>
      <c r="BL577" s="113"/>
      <c r="BM577" s="113"/>
      <c r="BN577" s="113"/>
      <c r="BO577" s="113"/>
      <c r="BP577" s="113"/>
      <c r="BQ577" s="113"/>
      <c r="BR577" s="113"/>
      <c r="BS577" s="113"/>
      <c r="BT577" s="113"/>
      <c r="BU577" s="113"/>
      <c r="BV577" s="113"/>
      <c r="BW577" s="113"/>
      <c r="BX577" s="113"/>
      <c r="BY577" s="113"/>
      <c r="BZ577" s="113"/>
      <c r="CA577" s="113"/>
      <c r="CB577" s="113"/>
    </row>
    <row r="578" spans="5:80" x14ac:dyDescent="0.25">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113"/>
      <c r="AF578" s="113"/>
      <c r="AG578" s="113"/>
      <c r="AH578" s="113"/>
      <c r="AI578" s="113"/>
      <c r="AJ578" s="113"/>
      <c r="AK578" s="113"/>
      <c r="AL578" s="113"/>
      <c r="AM578" s="113"/>
      <c r="AN578" s="113"/>
      <c r="AO578" s="113"/>
      <c r="AP578" s="113"/>
      <c r="AQ578" s="113"/>
      <c r="AR578" s="113"/>
      <c r="AS578" s="113"/>
      <c r="AT578" s="113"/>
      <c r="AU578" s="113"/>
      <c r="AV578" s="113"/>
      <c r="AW578" s="113"/>
      <c r="AX578" s="113"/>
      <c r="AY578" s="113"/>
      <c r="AZ578" s="113"/>
      <c r="BA578" s="113"/>
      <c r="BB578" s="113"/>
      <c r="BC578" s="113"/>
      <c r="BD578" s="113"/>
      <c r="BE578" s="113"/>
      <c r="BF578" s="113"/>
      <c r="BG578" s="113"/>
      <c r="BH578" s="113"/>
      <c r="BI578" s="113"/>
      <c r="BJ578" s="113"/>
      <c r="BK578" s="113"/>
      <c r="BL578" s="113"/>
      <c r="BM578" s="113"/>
      <c r="BN578" s="113"/>
      <c r="BO578" s="113"/>
      <c r="BP578" s="113"/>
      <c r="BQ578" s="113"/>
      <c r="BR578" s="113"/>
      <c r="BS578" s="113"/>
      <c r="BT578" s="113"/>
      <c r="BU578" s="113"/>
      <c r="BV578" s="113"/>
      <c r="BW578" s="113"/>
      <c r="BX578" s="113"/>
      <c r="BY578" s="113"/>
      <c r="BZ578" s="113"/>
      <c r="CA578" s="113"/>
      <c r="CB578" s="113"/>
    </row>
    <row r="579" spans="5:80" x14ac:dyDescent="0.25">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c r="AC579" s="113"/>
      <c r="AD579" s="113"/>
      <c r="AE579" s="113"/>
      <c r="AF579" s="113"/>
      <c r="AG579" s="113"/>
      <c r="AH579" s="113"/>
      <c r="AI579" s="113"/>
      <c r="AJ579" s="113"/>
      <c r="AK579" s="113"/>
      <c r="AL579" s="113"/>
      <c r="AM579" s="113"/>
      <c r="AN579" s="113"/>
      <c r="AO579" s="113"/>
      <c r="AP579" s="113"/>
      <c r="AQ579" s="113"/>
      <c r="AR579" s="113"/>
      <c r="AS579" s="113"/>
      <c r="AT579" s="113"/>
      <c r="AU579" s="113"/>
      <c r="AV579" s="113"/>
      <c r="AW579" s="113"/>
      <c r="AX579" s="113"/>
      <c r="AY579" s="113"/>
      <c r="AZ579" s="113"/>
      <c r="BA579" s="113"/>
      <c r="BB579" s="113"/>
      <c r="BC579" s="113"/>
      <c r="BD579" s="113"/>
      <c r="BE579" s="113"/>
      <c r="BF579" s="113"/>
      <c r="BG579" s="113"/>
      <c r="BH579" s="113"/>
      <c r="BI579" s="113"/>
      <c r="BJ579" s="113"/>
      <c r="BK579" s="113"/>
      <c r="BL579" s="113"/>
      <c r="BM579" s="113"/>
      <c r="BN579" s="113"/>
      <c r="BO579" s="113"/>
      <c r="BP579" s="113"/>
      <c r="BQ579" s="113"/>
      <c r="BR579" s="113"/>
      <c r="BS579" s="113"/>
      <c r="BT579" s="113"/>
      <c r="BU579" s="113"/>
      <c r="BV579" s="113"/>
      <c r="BW579" s="113"/>
      <c r="BX579" s="113"/>
      <c r="BY579" s="113"/>
      <c r="BZ579" s="113"/>
      <c r="CA579" s="113"/>
      <c r="CB579" s="113"/>
    </row>
    <row r="580" spans="5:80" x14ac:dyDescent="0.25">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c r="AC580" s="113"/>
      <c r="AD580" s="113"/>
      <c r="AE580" s="113"/>
      <c r="AF580" s="113"/>
      <c r="AG580" s="113"/>
      <c r="AH580" s="113"/>
      <c r="AI580" s="113"/>
      <c r="AJ580" s="113"/>
      <c r="AK580" s="113"/>
      <c r="AL580" s="113"/>
      <c r="AM580" s="113"/>
      <c r="AN580" s="113"/>
      <c r="AO580" s="113"/>
      <c r="AP580" s="113"/>
      <c r="AQ580" s="113"/>
      <c r="AR580" s="113"/>
      <c r="AS580" s="113"/>
      <c r="AT580" s="113"/>
      <c r="AU580" s="113"/>
      <c r="AV580" s="113"/>
      <c r="AW580" s="113"/>
      <c r="AX580" s="113"/>
      <c r="AY580" s="113"/>
      <c r="AZ580" s="113"/>
      <c r="BA580" s="113"/>
      <c r="BB580" s="113"/>
      <c r="BC580" s="113"/>
      <c r="BD580" s="113"/>
      <c r="BE580" s="113"/>
      <c r="BF580" s="113"/>
      <c r="BG580" s="113"/>
      <c r="BH580" s="113"/>
      <c r="BI580" s="113"/>
      <c r="BJ580" s="113"/>
      <c r="BK580" s="113"/>
      <c r="BL580" s="113"/>
      <c r="BM580" s="113"/>
      <c r="BN580" s="113"/>
      <c r="BO580" s="113"/>
      <c r="BP580" s="113"/>
      <c r="BQ580" s="113"/>
      <c r="BR580" s="113"/>
      <c r="BS580" s="113"/>
      <c r="BT580" s="113"/>
      <c r="BU580" s="113"/>
      <c r="BV580" s="113"/>
      <c r="BW580" s="113"/>
      <c r="BX580" s="113"/>
      <c r="BY580" s="113"/>
      <c r="BZ580" s="113"/>
      <c r="CA580" s="113"/>
      <c r="CB580" s="113"/>
    </row>
    <row r="581" spans="5:80" x14ac:dyDescent="0.25">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c r="AC581" s="113"/>
      <c r="AD581" s="113"/>
      <c r="AE581" s="113"/>
      <c r="AF581" s="113"/>
      <c r="AG581" s="113"/>
      <c r="AH581" s="113"/>
      <c r="AI581" s="113"/>
      <c r="AJ581" s="113"/>
      <c r="AK581" s="113"/>
      <c r="AL581" s="113"/>
      <c r="AM581" s="113"/>
      <c r="AN581" s="113"/>
      <c r="AO581" s="113"/>
      <c r="AP581" s="113"/>
      <c r="AQ581" s="113"/>
      <c r="AR581" s="113"/>
      <c r="AS581" s="113"/>
      <c r="AT581" s="113"/>
      <c r="AU581" s="113"/>
      <c r="AV581" s="113"/>
      <c r="AW581" s="113"/>
      <c r="AX581" s="113"/>
      <c r="AY581" s="113"/>
      <c r="AZ581" s="113"/>
      <c r="BA581" s="113"/>
      <c r="BB581" s="113"/>
      <c r="BC581" s="113"/>
      <c r="BD581" s="113"/>
      <c r="BE581" s="113"/>
      <c r="BF581" s="113"/>
      <c r="BG581" s="113"/>
      <c r="BH581" s="113"/>
      <c r="BI581" s="113"/>
      <c r="BJ581" s="113"/>
      <c r="BK581" s="113"/>
      <c r="BL581" s="113"/>
      <c r="BM581" s="113"/>
      <c r="BN581" s="113"/>
      <c r="BO581" s="113"/>
      <c r="BP581" s="113"/>
      <c r="BQ581" s="113"/>
      <c r="BR581" s="113"/>
      <c r="BS581" s="113"/>
      <c r="BT581" s="113"/>
      <c r="BU581" s="113"/>
      <c r="BV581" s="113"/>
      <c r="BW581" s="113"/>
      <c r="BX581" s="113"/>
      <c r="BY581" s="113"/>
      <c r="BZ581" s="113"/>
      <c r="CA581" s="113"/>
      <c r="CB581" s="113"/>
    </row>
    <row r="582" spans="5:80" x14ac:dyDescent="0.25">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c r="AC582" s="113"/>
      <c r="AD582" s="113"/>
      <c r="AE582" s="113"/>
      <c r="AF582" s="113"/>
      <c r="AG582" s="113"/>
      <c r="AH582" s="113"/>
      <c r="AI582" s="113"/>
      <c r="AJ582" s="113"/>
      <c r="AK582" s="113"/>
      <c r="AL582" s="113"/>
      <c r="AM582" s="113"/>
      <c r="AN582" s="113"/>
      <c r="AO582" s="113"/>
      <c r="AP582" s="113"/>
      <c r="AQ582" s="113"/>
      <c r="AR582" s="113"/>
      <c r="AS582" s="113"/>
      <c r="AT582" s="113"/>
      <c r="AU582" s="113"/>
      <c r="AV582" s="113"/>
      <c r="AW582" s="113"/>
      <c r="AX582" s="113"/>
      <c r="AY582" s="113"/>
      <c r="AZ582" s="113"/>
      <c r="BA582" s="113"/>
      <c r="BB582" s="113"/>
      <c r="BC582" s="113"/>
      <c r="BD582" s="113"/>
      <c r="BE582" s="113"/>
      <c r="BF582" s="113"/>
      <c r="BG582" s="113"/>
      <c r="BH582" s="113"/>
      <c r="BI582" s="113"/>
      <c r="BJ582" s="113"/>
      <c r="BK582" s="113"/>
      <c r="BL582" s="113"/>
      <c r="BM582" s="113"/>
      <c r="BN582" s="113"/>
      <c r="BO582" s="113"/>
      <c r="BP582" s="113"/>
      <c r="BQ582" s="113"/>
      <c r="BR582" s="113"/>
      <c r="BS582" s="113"/>
      <c r="BT582" s="113"/>
      <c r="BU582" s="113"/>
      <c r="BV582" s="113"/>
      <c r="BW582" s="113"/>
      <c r="BX582" s="113"/>
      <c r="BY582" s="113"/>
      <c r="BZ582" s="113"/>
      <c r="CA582" s="113"/>
      <c r="CB582" s="113"/>
    </row>
    <row r="583" spans="5:80" x14ac:dyDescent="0.25">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c r="AC583" s="113"/>
      <c r="AD583" s="113"/>
      <c r="AE583" s="113"/>
      <c r="AF583" s="113"/>
      <c r="AG583" s="113"/>
      <c r="AH583" s="113"/>
      <c r="AI583" s="113"/>
      <c r="AJ583" s="113"/>
      <c r="AK583" s="113"/>
      <c r="AL583" s="113"/>
      <c r="AM583" s="113"/>
      <c r="AN583" s="113"/>
      <c r="AO583" s="113"/>
      <c r="AP583" s="113"/>
      <c r="AQ583" s="113"/>
      <c r="AR583" s="113"/>
      <c r="AS583" s="113"/>
      <c r="AT583" s="113"/>
      <c r="AU583" s="113"/>
      <c r="AV583" s="113"/>
      <c r="AW583" s="113"/>
      <c r="AX583" s="113"/>
      <c r="AY583" s="113"/>
      <c r="AZ583" s="113"/>
      <c r="BA583" s="113"/>
      <c r="BB583" s="113"/>
      <c r="BC583" s="113"/>
      <c r="BD583" s="113"/>
      <c r="BE583" s="113"/>
      <c r="BF583" s="113"/>
      <c r="BG583" s="113"/>
      <c r="BH583" s="113"/>
      <c r="BI583" s="113"/>
      <c r="BJ583" s="113"/>
      <c r="BK583" s="113"/>
      <c r="BL583" s="113"/>
      <c r="BM583" s="113"/>
      <c r="BN583" s="113"/>
      <c r="BO583" s="113"/>
      <c r="BP583" s="113"/>
      <c r="BQ583" s="113"/>
      <c r="BR583" s="113"/>
      <c r="BS583" s="113"/>
      <c r="BT583" s="113"/>
      <c r="BU583" s="113"/>
      <c r="BV583" s="113"/>
      <c r="BW583" s="113"/>
      <c r="BX583" s="113"/>
      <c r="BY583" s="113"/>
      <c r="BZ583" s="113"/>
      <c r="CA583" s="113"/>
      <c r="CB583" s="113"/>
    </row>
    <row r="584" spans="5:80" x14ac:dyDescent="0.25">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c r="AC584" s="113"/>
      <c r="AD584" s="113"/>
      <c r="AE584" s="113"/>
      <c r="AF584" s="113"/>
      <c r="AG584" s="113"/>
      <c r="AH584" s="113"/>
      <c r="AI584" s="113"/>
      <c r="AJ584" s="113"/>
      <c r="AK584" s="113"/>
      <c r="AL584" s="113"/>
      <c r="AM584" s="113"/>
      <c r="AN584" s="113"/>
      <c r="AO584" s="113"/>
      <c r="AP584" s="113"/>
      <c r="AQ584" s="113"/>
      <c r="AR584" s="113"/>
      <c r="AS584" s="113"/>
      <c r="AT584" s="113"/>
      <c r="AU584" s="113"/>
      <c r="AV584" s="113"/>
      <c r="AW584" s="113"/>
      <c r="AX584" s="113"/>
      <c r="AY584" s="113"/>
      <c r="AZ584" s="113"/>
      <c r="BA584" s="113"/>
      <c r="BB584" s="113"/>
      <c r="BC584" s="113"/>
      <c r="BD584" s="113"/>
      <c r="BE584" s="113"/>
      <c r="BF584" s="113"/>
      <c r="BG584" s="113"/>
      <c r="BH584" s="113"/>
      <c r="BI584" s="113"/>
      <c r="BJ584" s="113"/>
      <c r="BK584" s="113"/>
      <c r="BL584" s="113"/>
      <c r="BM584" s="113"/>
      <c r="BN584" s="113"/>
      <c r="BO584" s="113"/>
      <c r="BP584" s="113"/>
      <c r="BQ584" s="113"/>
      <c r="BR584" s="113"/>
      <c r="BS584" s="113"/>
      <c r="BT584" s="113"/>
      <c r="BU584" s="113"/>
      <c r="BV584" s="113"/>
      <c r="BW584" s="113"/>
      <c r="BX584" s="113"/>
      <c r="BY584" s="113"/>
      <c r="BZ584" s="113"/>
      <c r="CA584" s="113"/>
      <c r="CB584" s="113"/>
    </row>
    <row r="585" spans="5:80" x14ac:dyDescent="0.25">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c r="AC585" s="113"/>
      <c r="AD585" s="113"/>
      <c r="AE585" s="113"/>
      <c r="AF585" s="113"/>
      <c r="AG585" s="113"/>
      <c r="AH585" s="113"/>
      <c r="AI585" s="113"/>
      <c r="AJ585" s="113"/>
      <c r="AK585" s="113"/>
      <c r="AL585" s="113"/>
      <c r="AM585" s="113"/>
      <c r="AN585" s="113"/>
      <c r="AO585" s="113"/>
      <c r="AP585" s="113"/>
      <c r="AQ585" s="113"/>
      <c r="AR585" s="113"/>
      <c r="AS585" s="113"/>
      <c r="AT585" s="113"/>
      <c r="AU585" s="113"/>
      <c r="AV585" s="113"/>
      <c r="AW585" s="113"/>
      <c r="AX585" s="113"/>
      <c r="AY585" s="113"/>
      <c r="AZ585" s="113"/>
      <c r="BA585" s="113"/>
      <c r="BB585" s="113"/>
      <c r="BC585" s="113"/>
      <c r="BD585" s="113"/>
      <c r="BE585" s="113"/>
      <c r="BF585" s="113"/>
      <c r="BG585" s="113"/>
      <c r="BH585" s="113"/>
      <c r="BI585" s="113"/>
      <c r="BJ585" s="113"/>
      <c r="BK585" s="113"/>
      <c r="BL585" s="113"/>
      <c r="BM585" s="113"/>
      <c r="BN585" s="113"/>
      <c r="BO585" s="113"/>
      <c r="BP585" s="113"/>
      <c r="BQ585" s="113"/>
      <c r="BR585" s="113"/>
      <c r="BS585" s="113"/>
      <c r="BT585" s="113"/>
      <c r="BU585" s="113"/>
      <c r="BV585" s="113"/>
      <c r="BW585" s="113"/>
      <c r="BX585" s="113"/>
      <c r="BY585" s="113"/>
      <c r="BZ585" s="113"/>
      <c r="CA585" s="113"/>
      <c r="CB585" s="113"/>
    </row>
    <row r="586" spans="5:80" x14ac:dyDescent="0.25">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c r="AC586" s="113"/>
      <c r="AD586" s="113"/>
      <c r="AE586" s="113"/>
      <c r="AF586" s="113"/>
      <c r="AG586" s="113"/>
      <c r="AH586" s="113"/>
      <c r="AI586" s="113"/>
      <c r="AJ586" s="113"/>
      <c r="AK586" s="113"/>
      <c r="AL586" s="113"/>
      <c r="AM586" s="113"/>
      <c r="AN586" s="113"/>
      <c r="AO586" s="113"/>
      <c r="AP586" s="113"/>
      <c r="AQ586" s="113"/>
      <c r="AR586" s="113"/>
      <c r="AS586" s="113"/>
      <c r="AT586" s="113"/>
      <c r="AU586" s="113"/>
      <c r="AV586" s="113"/>
      <c r="AW586" s="113"/>
      <c r="AX586" s="113"/>
      <c r="AY586" s="113"/>
      <c r="AZ586" s="113"/>
      <c r="BA586" s="113"/>
      <c r="BB586" s="113"/>
      <c r="BC586" s="113"/>
      <c r="BD586" s="113"/>
      <c r="BE586" s="113"/>
      <c r="BF586" s="113"/>
      <c r="BG586" s="113"/>
      <c r="BH586" s="113"/>
      <c r="BI586" s="113"/>
      <c r="BJ586" s="113"/>
      <c r="BK586" s="113"/>
      <c r="BL586" s="113"/>
      <c r="BM586" s="113"/>
      <c r="BN586" s="113"/>
      <c r="BO586" s="113"/>
      <c r="BP586" s="113"/>
      <c r="BQ586" s="113"/>
      <c r="BR586" s="113"/>
      <c r="BS586" s="113"/>
      <c r="BT586" s="113"/>
      <c r="BU586" s="113"/>
      <c r="BV586" s="113"/>
      <c r="BW586" s="113"/>
      <c r="BX586" s="113"/>
      <c r="BY586" s="113"/>
      <c r="BZ586" s="113"/>
      <c r="CA586" s="113"/>
      <c r="CB586" s="113"/>
    </row>
    <row r="587" spans="5:80" x14ac:dyDescent="0.25">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c r="AC587" s="113"/>
      <c r="AD587" s="113"/>
      <c r="AE587" s="113"/>
      <c r="AF587" s="113"/>
      <c r="AG587" s="113"/>
      <c r="AH587" s="113"/>
      <c r="AI587" s="113"/>
      <c r="AJ587" s="113"/>
      <c r="AK587" s="113"/>
      <c r="AL587" s="113"/>
      <c r="AM587" s="113"/>
      <c r="AN587" s="113"/>
      <c r="AO587" s="113"/>
      <c r="AP587" s="113"/>
      <c r="AQ587" s="113"/>
      <c r="AR587" s="113"/>
      <c r="AS587" s="113"/>
      <c r="AT587" s="113"/>
      <c r="AU587" s="113"/>
      <c r="AV587" s="113"/>
      <c r="AW587" s="113"/>
      <c r="AX587" s="113"/>
      <c r="AY587" s="113"/>
      <c r="AZ587" s="113"/>
      <c r="BA587" s="113"/>
      <c r="BB587" s="113"/>
      <c r="BC587" s="113"/>
      <c r="BD587" s="113"/>
      <c r="BE587" s="113"/>
      <c r="BF587" s="113"/>
      <c r="BG587" s="113"/>
      <c r="BH587" s="113"/>
      <c r="BI587" s="113"/>
      <c r="BJ587" s="113"/>
      <c r="BK587" s="113"/>
      <c r="BL587" s="113"/>
      <c r="BM587" s="113"/>
      <c r="BN587" s="113"/>
      <c r="BO587" s="113"/>
      <c r="BP587" s="113"/>
      <c r="BQ587" s="113"/>
      <c r="BR587" s="113"/>
      <c r="BS587" s="113"/>
      <c r="BT587" s="113"/>
      <c r="BU587" s="113"/>
      <c r="BV587" s="113"/>
      <c r="BW587" s="113"/>
      <c r="BX587" s="113"/>
      <c r="BY587" s="113"/>
      <c r="BZ587" s="113"/>
      <c r="CA587" s="113"/>
      <c r="CB587" s="113"/>
    </row>
    <row r="588" spans="5:80" x14ac:dyDescent="0.25">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c r="AC588" s="113"/>
      <c r="AD588" s="113"/>
      <c r="AE588" s="113"/>
      <c r="AF588" s="113"/>
      <c r="AG588" s="113"/>
      <c r="AH588" s="113"/>
      <c r="AI588" s="113"/>
      <c r="AJ588" s="113"/>
      <c r="AK588" s="113"/>
      <c r="AL588" s="113"/>
      <c r="AM588" s="113"/>
      <c r="AN588" s="113"/>
      <c r="AO588" s="113"/>
      <c r="AP588" s="113"/>
      <c r="AQ588" s="113"/>
      <c r="AR588" s="113"/>
      <c r="AS588" s="113"/>
      <c r="AT588" s="113"/>
      <c r="AU588" s="113"/>
      <c r="AV588" s="113"/>
      <c r="AW588" s="113"/>
      <c r="AX588" s="113"/>
      <c r="AY588" s="113"/>
      <c r="AZ588" s="113"/>
      <c r="BA588" s="113"/>
      <c r="BB588" s="113"/>
      <c r="BC588" s="113"/>
      <c r="BD588" s="113"/>
      <c r="BE588" s="113"/>
      <c r="BF588" s="113"/>
      <c r="BG588" s="113"/>
      <c r="BH588" s="113"/>
      <c r="BI588" s="113"/>
      <c r="BJ588" s="113"/>
      <c r="BK588" s="113"/>
      <c r="BL588" s="113"/>
      <c r="BM588" s="113"/>
      <c r="BN588" s="113"/>
      <c r="BO588" s="113"/>
      <c r="BP588" s="113"/>
      <c r="BQ588" s="113"/>
      <c r="BR588" s="113"/>
      <c r="BS588" s="113"/>
      <c r="BT588" s="113"/>
      <c r="BU588" s="113"/>
      <c r="BV588" s="113"/>
      <c r="BW588" s="113"/>
      <c r="BX588" s="113"/>
      <c r="BY588" s="113"/>
      <c r="BZ588" s="113"/>
      <c r="CA588" s="113"/>
      <c r="CB588" s="113"/>
    </row>
    <row r="589" spans="5:80" x14ac:dyDescent="0.25">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c r="AC589" s="113"/>
      <c r="AD589" s="113"/>
      <c r="AE589" s="113"/>
      <c r="AF589" s="113"/>
      <c r="AG589" s="113"/>
      <c r="AH589" s="113"/>
      <c r="AI589" s="113"/>
      <c r="AJ589" s="113"/>
      <c r="AK589" s="113"/>
      <c r="AL589" s="113"/>
      <c r="AM589" s="113"/>
      <c r="AN589" s="113"/>
      <c r="AO589" s="113"/>
      <c r="AP589" s="113"/>
      <c r="AQ589" s="113"/>
      <c r="AR589" s="113"/>
      <c r="AS589" s="113"/>
      <c r="AT589" s="113"/>
      <c r="AU589" s="113"/>
      <c r="AV589" s="113"/>
      <c r="AW589" s="113"/>
      <c r="AX589" s="113"/>
      <c r="AY589" s="113"/>
      <c r="AZ589" s="113"/>
      <c r="BA589" s="113"/>
      <c r="BB589" s="113"/>
      <c r="BC589" s="113"/>
      <c r="BD589" s="113"/>
      <c r="BE589" s="113"/>
      <c r="BF589" s="113"/>
      <c r="BG589" s="113"/>
      <c r="BH589" s="113"/>
      <c r="BI589" s="113"/>
      <c r="BJ589" s="113"/>
      <c r="BK589" s="113"/>
      <c r="BL589" s="113"/>
      <c r="BM589" s="113"/>
      <c r="BN589" s="113"/>
      <c r="BO589" s="113"/>
      <c r="BP589" s="113"/>
      <c r="BQ589" s="113"/>
      <c r="BR589" s="113"/>
      <c r="BS589" s="113"/>
      <c r="BT589" s="113"/>
      <c r="BU589" s="113"/>
      <c r="BV589" s="113"/>
      <c r="BW589" s="113"/>
      <c r="BX589" s="113"/>
      <c r="BY589" s="113"/>
      <c r="BZ589" s="113"/>
      <c r="CA589" s="113"/>
      <c r="CB589" s="113"/>
    </row>
    <row r="590" spans="5:80" x14ac:dyDescent="0.25">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c r="AC590" s="113"/>
      <c r="AD590" s="113"/>
      <c r="AE590" s="113"/>
      <c r="AF590" s="113"/>
      <c r="AG590" s="113"/>
      <c r="AH590" s="113"/>
      <c r="AI590" s="113"/>
      <c r="AJ590" s="113"/>
      <c r="AK590" s="113"/>
      <c r="AL590" s="113"/>
      <c r="AM590" s="113"/>
      <c r="AN590" s="113"/>
      <c r="AO590" s="113"/>
      <c r="AP590" s="113"/>
      <c r="AQ590" s="113"/>
      <c r="AR590" s="113"/>
      <c r="AS590" s="113"/>
      <c r="AT590" s="113"/>
      <c r="AU590" s="113"/>
      <c r="AV590" s="113"/>
      <c r="AW590" s="113"/>
      <c r="AX590" s="113"/>
      <c r="AY590" s="113"/>
      <c r="AZ590" s="113"/>
      <c r="BA590" s="113"/>
      <c r="BB590" s="113"/>
      <c r="BC590" s="113"/>
      <c r="BD590" s="113"/>
      <c r="BE590" s="113"/>
      <c r="BF590" s="113"/>
      <c r="BG590" s="113"/>
      <c r="BH590" s="113"/>
      <c r="BI590" s="113"/>
      <c r="BJ590" s="113"/>
      <c r="BK590" s="113"/>
      <c r="BL590" s="113"/>
      <c r="BM590" s="113"/>
      <c r="BN590" s="113"/>
      <c r="BO590" s="113"/>
      <c r="BP590" s="113"/>
      <c r="BQ590" s="113"/>
      <c r="BR590" s="113"/>
      <c r="BS590" s="113"/>
      <c r="BT590" s="113"/>
      <c r="BU590" s="113"/>
      <c r="BV590" s="113"/>
      <c r="BW590" s="113"/>
      <c r="BX590" s="113"/>
      <c r="BY590" s="113"/>
      <c r="BZ590" s="113"/>
      <c r="CA590" s="113"/>
      <c r="CB590" s="113"/>
    </row>
    <row r="591" spans="5:80" x14ac:dyDescent="0.25">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c r="AC591" s="113"/>
      <c r="AD591" s="113"/>
      <c r="AE591" s="113"/>
      <c r="AF591" s="113"/>
      <c r="AG591" s="113"/>
      <c r="AH591" s="113"/>
      <c r="AI591" s="113"/>
      <c r="AJ591" s="113"/>
      <c r="AK591" s="113"/>
      <c r="AL591" s="113"/>
      <c r="AM591" s="113"/>
      <c r="AN591" s="113"/>
      <c r="AO591" s="113"/>
      <c r="AP591" s="113"/>
      <c r="AQ591" s="113"/>
      <c r="AR591" s="113"/>
      <c r="AS591" s="113"/>
      <c r="AT591" s="113"/>
      <c r="AU591" s="113"/>
      <c r="AV591" s="113"/>
      <c r="AW591" s="113"/>
      <c r="AX591" s="113"/>
      <c r="AY591" s="113"/>
      <c r="AZ591" s="113"/>
      <c r="BA591" s="113"/>
      <c r="BB591" s="113"/>
      <c r="BC591" s="113"/>
      <c r="BD591" s="113"/>
      <c r="BE591" s="113"/>
      <c r="BF591" s="113"/>
      <c r="BG591" s="113"/>
      <c r="BH591" s="113"/>
      <c r="BI591" s="113"/>
      <c r="BJ591" s="113"/>
      <c r="BK591" s="113"/>
      <c r="BL591" s="113"/>
      <c r="BM591" s="113"/>
      <c r="BN591" s="113"/>
      <c r="BO591" s="113"/>
      <c r="BP591" s="113"/>
      <c r="BQ591" s="113"/>
      <c r="BR591" s="113"/>
      <c r="BS591" s="113"/>
      <c r="BT591" s="113"/>
      <c r="BU591" s="113"/>
      <c r="BV591" s="113"/>
      <c r="BW591" s="113"/>
      <c r="BX591" s="113"/>
      <c r="BY591" s="113"/>
      <c r="BZ591" s="113"/>
      <c r="CA591" s="113"/>
      <c r="CB591" s="113"/>
    </row>
    <row r="592" spans="5:80" x14ac:dyDescent="0.25">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c r="AC592" s="113"/>
      <c r="AD592" s="113"/>
      <c r="AE592" s="113"/>
      <c r="AF592" s="113"/>
      <c r="AG592" s="113"/>
      <c r="AH592" s="113"/>
      <c r="AI592" s="113"/>
      <c r="AJ592" s="113"/>
      <c r="AK592" s="113"/>
      <c r="AL592" s="113"/>
      <c r="AM592" s="113"/>
      <c r="AN592" s="113"/>
      <c r="AO592" s="113"/>
      <c r="AP592" s="113"/>
      <c r="AQ592" s="113"/>
      <c r="AR592" s="113"/>
      <c r="AS592" s="113"/>
      <c r="AT592" s="113"/>
      <c r="AU592" s="113"/>
      <c r="AV592" s="113"/>
      <c r="AW592" s="113"/>
      <c r="AX592" s="113"/>
      <c r="AY592" s="113"/>
      <c r="AZ592" s="113"/>
      <c r="BA592" s="113"/>
      <c r="BB592" s="113"/>
      <c r="BC592" s="113"/>
      <c r="BD592" s="113"/>
      <c r="BE592" s="113"/>
      <c r="BF592" s="113"/>
      <c r="BG592" s="113"/>
      <c r="BH592" s="113"/>
      <c r="BI592" s="113"/>
      <c r="BJ592" s="113"/>
      <c r="BK592" s="113"/>
      <c r="BL592" s="113"/>
      <c r="BM592" s="113"/>
      <c r="BN592" s="113"/>
      <c r="BO592" s="113"/>
      <c r="BP592" s="113"/>
      <c r="BQ592" s="113"/>
      <c r="BR592" s="113"/>
      <c r="BS592" s="113"/>
      <c r="BT592" s="113"/>
      <c r="BU592" s="113"/>
      <c r="BV592" s="113"/>
      <c r="BW592" s="113"/>
      <c r="BX592" s="113"/>
      <c r="BY592" s="113"/>
      <c r="BZ592" s="113"/>
      <c r="CA592" s="113"/>
      <c r="CB592" s="113"/>
    </row>
    <row r="593" spans="5:80" x14ac:dyDescent="0.25">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c r="AC593" s="113"/>
      <c r="AD593" s="113"/>
      <c r="AE593" s="113"/>
      <c r="AF593" s="113"/>
      <c r="AG593" s="113"/>
      <c r="AH593" s="113"/>
      <c r="AI593" s="113"/>
      <c r="AJ593" s="113"/>
      <c r="AK593" s="113"/>
      <c r="AL593" s="113"/>
      <c r="AM593" s="113"/>
      <c r="AN593" s="113"/>
      <c r="AO593" s="113"/>
      <c r="AP593" s="113"/>
      <c r="AQ593" s="113"/>
      <c r="AR593" s="113"/>
      <c r="AS593" s="113"/>
      <c r="AT593" s="113"/>
      <c r="AU593" s="113"/>
      <c r="AV593" s="113"/>
      <c r="AW593" s="113"/>
      <c r="AX593" s="113"/>
      <c r="AY593" s="113"/>
      <c r="AZ593" s="113"/>
      <c r="BA593" s="113"/>
      <c r="BB593" s="113"/>
      <c r="BC593" s="113"/>
      <c r="BD593" s="113"/>
      <c r="BE593" s="113"/>
      <c r="BF593" s="113"/>
      <c r="BG593" s="113"/>
      <c r="BH593" s="113"/>
      <c r="BI593" s="113"/>
      <c r="BJ593" s="113"/>
      <c r="BK593" s="113"/>
      <c r="BL593" s="113"/>
      <c r="BM593" s="113"/>
      <c r="BN593" s="113"/>
      <c r="BO593" s="113"/>
      <c r="BP593" s="113"/>
      <c r="BQ593" s="113"/>
      <c r="BR593" s="113"/>
      <c r="BS593" s="113"/>
      <c r="BT593" s="113"/>
      <c r="BU593" s="113"/>
      <c r="BV593" s="113"/>
      <c r="BW593" s="113"/>
      <c r="BX593" s="113"/>
      <c r="BY593" s="113"/>
      <c r="BZ593" s="113"/>
      <c r="CA593" s="113"/>
      <c r="CB593" s="113"/>
    </row>
    <row r="594" spans="5:80" x14ac:dyDescent="0.25">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c r="AC594" s="113"/>
      <c r="AD594" s="113"/>
      <c r="AE594" s="113"/>
      <c r="AF594" s="113"/>
      <c r="AG594" s="113"/>
      <c r="AH594" s="113"/>
      <c r="AI594" s="113"/>
      <c r="AJ594" s="113"/>
      <c r="AK594" s="113"/>
      <c r="AL594" s="113"/>
      <c r="AM594" s="113"/>
      <c r="AN594" s="113"/>
      <c r="AO594" s="113"/>
      <c r="AP594" s="113"/>
      <c r="AQ594" s="113"/>
      <c r="AR594" s="113"/>
      <c r="AS594" s="113"/>
      <c r="AT594" s="113"/>
      <c r="AU594" s="113"/>
      <c r="AV594" s="113"/>
      <c r="AW594" s="113"/>
      <c r="AX594" s="113"/>
      <c r="AY594" s="113"/>
      <c r="AZ594" s="113"/>
      <c r="BA594" s="113"/>
      <c r="BB594" s="113"/>
      <c r="BC594" s="113"/>
      <c r="BD594" s="113"/>
      <c r="BE594" s="113"/>
      <c r="BF594" s="113"/>
      <c r="BG594" s="113"/>
      <c r="BH594" s="113"/>
      <c r="BI594" s="113"/>
      <c r="BJ594" s="113"/>
      <c r="BK594" s="113"/>
      <c r="BL594" s="113"/>
      <c r="BM594" s="113"/>
      <c r="BN594" s="113"/>
      <c r="BO594" s="113"/>
      <c r="BP594" s="113"/>
      <c r="BQ594" s="113"/>
      <c r="BR594" s="113"/>
      <c r="BS594" s="113"/>
      <c r="BT594" s="113"/>
      <c r="BU594" s="113"/>
      <c r="BV594" s="113"/>
      <c r="BW594" s="113"/>
      <c r="BX594" s="113"/>
      <c r="BY594" s="113"/>
      <c r="BZ594" s="113"/>
      <c r="CA594" s="113"/>
      <c r="CB594" s="113"/>
    </row>
    <row r="595" spans="5:80" x14ac:dyDescent="0.25">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c r="AC595" s="113"/>
      <c r="AD595" s="113"/>
      <c r="AE595" s="113"/>
      <c r="AF595" s="113"/>
      <c r="AG595" s="113"/>
      <c r="AH595" s="113"/>
      <c r="AI595" s="113"/>
      <c r="AJ595" s="113"/>
      <c r="AK595" s="113"/>
      <c r="AL595" s="113"/>
      <c r="AM595" s="113"/>
      <c r="AN595" s="113"/>
      <c r="AO595" s="113"/>
      <c r="AP595" s="113"/>
      <c r="AQ595" s="113"/>
      <c r="AR595" s="113"/>
      <c r="AS595" s="113"/>
      <c r="AT595" s="113"/>
      <c r="AU595" s="113"/>
      <c r="AV595" s="113"/>
      <c r="AW595" s="113"/>
      <c r="AX595" s="113"/>
      <c r="AY595" s="113"/>
      <c r="AZ595" s="113"/>
      <c r="BA595" s="113"/>
      <c r="BB595" s="113"/>
      <c r="BC595" s="113"/>
      <c r="BD595" s="113"/>
      <c r="BE595" s="113"/>
      <c r="BF595" s="113"/>
      <c r="BG595" s="113"/>
      <c r="BH595" s="113"/>
      <c r="BI595" s="113"/>
      <c r="BJ595" s="113"/>
      <c r="BK595" s="113"/>
      <c r="BL595" s="113"/>
      <c r="BM595" s="113"/>
      <c r="BN595" s="113"/>
      <c r="BO595" s="113"/>
      <c r="BP595" s="113"/>
      <c r="BQ595" s="113"/>
      <c r="BR595" s="113"/>
      <c r="BS595" s="113"/>
      <c r="BT595" s="113"/>
      <c r="BU595" s="113"/>
      <c r="BV595" s="113"/>
      <c r="BW595" s="113"/>
      <c r="BX595" s="113"/>
      <c r="BY595" s="113"/>
      <c r="BZ595" s="113"/>
      <c r="CA595" s="113"/>
      <c r="CB595" s="113"/>
    </row>
    <row r="596" spans="5:80" x14ac:dyDescent="0.25">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c r="AC596" s="113"/>
      <c r="AD596" s="113"/>
      <c r="AE596" s="113"/>
      <c r="AF596" s="113"/>
      <c r="AG596" s="113"/>
      <c r="AH596" s="113"/>
      <c r="AI596" s="113"/>
      <c r="AJ596" s="113"/>
      <c r="AK596" s="113"/>
      <c r="AL596" s="113"/>
      <c r="AM596" s="113"/>
      <c r="AN596" s="113"/>
      <c r="AO596" s="113"/>
      <c r="AP596" s="113"/>
      <c r="AQ596" s="113"/>
      <c r="AR596" s="113"/>
      <c r="AS596" s="113"/>
      <c r="AT596" s="113"/>
      <c r="AU596" s="113"/>
      <c r="AV596" s="113"/>
      <c r="AW596" s="113"/>
      <c r="AX596" s="113"/>
      <c r="AY596" s="113"/>
      <c r="AZ596" s="113"/>
      <c r="BA596" s="113"/>
      <c r="BB596" s="113"/>
      <c r="BC596" s="113"/>
      <c r="BD596" s="113"/>
      <c r="BE596" s="113"/>
      <c r="BF596" s="113"/>
      <c r="BG596" s="113"/>
      <c r="BH596" s="113"/>
      <c r="BI596" s="113"/>
      <c r="BJ596" s="113"/>
      <c r="BK596" s="113"/>
      <c r="BL596" s="113"/>
      <c r="BM596" s="113"/>
      <c r="BN596" s="113"/>
      <c r="BO596" s="113"/>
      <c r="BP596" s="113"/>
      <c r="BQ596" s="113"/>
      <c r="BR596" s="113"/>
      <c r="BS596" s="113"/>
      <c r="BT596" s="113"/>
      <c r="BU596" s="113"/>
      <c r="BV596" s="113"/>
      <c r="BW596" s="113"/>
      <c r="BX596" s="113"/>
      <c r="BY596" s="113"/>
      <c r="BZ596" s="113"/>
      <c r="CA596" s="113"/>
      <c r="CB596" s="113"/>
    </row>
    <row r="597" spans="5:80" x14ac:dyDescent="0.25">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c r="AC597" s="113"/>
      <c r="AD597" s="113"/>
      <c r="AE597" s="113"/>
      <c r="AF597" s="113"/>
      <c r="AG597" s="113"/>
      <c r="AH597" s="113"/>
      <c r="AI597" s="113"/>
      <c r="AJ597" s="113"/>
      <c r="AK597" s="113"/>
      <c r="AL597" s="113"/>
      <c r="AM597" s="113"/>
      <c r="AN597" s="113"/>
      <c r="AO597" s="113"/>
      <c r="AP597" s="113"/>
      <c r="AQ597" s="113"/>
      <c r="AR597" s="113"/>
      <c r="AS597" s="113"/>
      <c r="AT597" s="113"/>
      <c r="AU597" s="113"/>
      <c r="AV597" s="113"/>
      <c r="AW597" s="113"/>
      <c r="AX597" s="113"/>
      <c r="AY597" s="113"/>
      <c r="AZ597" s="113"/>
      <c r="BA597" s="113"/>
      <c r="BB597" s="113"/>
      <c r="BC597" s="113"/>
      <c r="BD597" s="113"/>
      <c r="BE597" s="113"/>
      <c r="BF597" s="113"/>
      <c r="BG597" s="113"/>
      <c r="BH597" s="113"/>
      <c r="BI597" s="113"/>
      <c r="BJ597" s="113"/>
      <c r="BK597" s="113"/>
      <c r="BL597" s="113"/>
      <c r="BM597" s="113"/>
      <c r="BN597" s="113"/>
      <c r="BO597" s="113"/>
      <c r="BP597" s="113"/>
      <c r="BQ597" s="113"/>
      <c r="BR597" s="113"/>
      <c r="BS597" s="113"/>
      <c r="BT597" s="113"/>
      <c r="BU597" s="113"/>
      <c r="BV597" s="113"/>
      <c r="BW597" s="113"/>
      <c r="BX597" s="113"/>
      <c r="BY597" s="113"/>
      <c r="BZ597" s="113"/>
      <c r="CA597" s="113"/>
      <c r="CB597" s="113"/>
    </row>
    <row r="598" spans="5:80" x14ac:dyDescent="0.25">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c r="AC598" s="113"/>
      <c r="AD598" s="113"/>
      <c r="AE598" s="113"/>
      <c r="AF598" s="113"/>
      <c r="AG598" s="113"/>
      <c r="AH598" s="113"/>
      <c r="AI598" s="113"/>
      <c r="AJ598" s="113"/>
      <c r="AK598" s="113"/>
      <c r="AL598" s="113"/>
      <c r="AM598" s="113"/>
      <c r="AN598" s="113"/>
      <c r="AO598" s="113"/>
      <c r="AP598" s="113"/>
      <c r="AQ598" s="113"/>
      <c r="AR598" s="113"/>
      <c r="AS598" s="113"/>
      <c r="AT598" s="113"/>
      <c r="AU598" s="113"/>
      <c r="AV598" s="113"/>
      <c r="AW598" s="113"/>
      <c r="AX598" s="113"/>
      <c r="AY598" s="113"/>
      <c r="AZ598" s="113"/>
      <c r="BA598" s="113"/>
      <c r="BB598" s="113"/>
      <c r="BC598" s="113"/>
      <c r="BD598" s="113"/>
      <c r="BE598" s="113"/>
      <c r="BF598" s="113"/>
      <c r="BG598" s="113"/>
      <c r="BH598" s="113"/>
      <c r="BI598" s="113"/>
      <c r="BJ598" s="113"/>
      <c r="BK598" s="113"/>
      <c r="BL598" s="113"/>
      <c r="BM598" s="113"/>
      <c r="BN598" s="113"/>
      <c r="BO598" s="113"/>
      <c r="BP598" s="113"/>
      <c r="BQ598" s="113"/>
      <c r="BR598" s="113"/>
      <c r="BS598" s="113"/>
      <c r="BT598" s="113"/>
      <c r="BU598" s="113"/>
      <c r="BV598" s="113"/>
      <c r="BW598" s="113"/>
      <c r="BX598" s="113"/>
      <c r="BY598" s="113"/>
      <c r="BZ598" s="113"/>
      <c r="CA598" s="113"/>
      <c r="CB598" s="113"/>
    </row>
    <row r="599" spans="5:80" x14ac:dyDescent="0.25">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c r="AC599" s="113"/>
      <c r="AD599" s="113"/>
      <c r="AE599" s="113"/>
      <c r="AF599" s="113"/>
      <c r="AG599" s="113"/>
      <c r="AH599" s="113"/>
      <c r="AI599" s="113"/>
      <c r="AJ599" s="113"/>
      <c r="AK599" s="113"/>
      <c r="AL599" s="113"/>
      <c r="AM599" s="113"/>
      <c r="AN599" s="113"/>
      <c r="AO599" s="113"/>
      <c r="AP599" s="113"/>
      <c r="AQ599" s="113"/>
      <c r="AR599" s="113"/>
      <c r="AS599" s="113"/>
      <c r="AT599" s="113"/>
      <c r="AU599" s="113"/>
      <c r="AV599" s="113"/>
      <c r="AW599" s="113"/>
      <c r="AX599" s="113"/>
      <c r="AY599" s="113"/>
      <c r="AZ599" s="113"/>
      <c r="BA599" s="113"/>
      <c r="BB599" s="113"/>
      <c r="BC599" s="113"/>
      <c r="BD599" s="113"/>
      <c r="BE599" s="113"/>
      <c r="BF599" s="113"/>
      <c r="BG599" s="113"/>
      <c r="BH599" s="113"/>
      <c r="BI599" s="113"/>
      <c r="BJ599" s="113"/>
      <c r="BK599" s="113"/>
      <c r="BL599" s="113"/>
      <c r="BM599" s="113"/>
      <c r="BN599" s="113"/>
      <c r="BO599" s="113"/>
      <c r="BP599" s="113"/>
      <c r="BQ599" s="113"/>
      <c r="BR599" s="113"/>
      <c r="BS599" s="113"/>
      <c r="BT599" s="113"/>
      <c r="BU599" s="113"/>
      <c r="BV599" s="113"/>
      <c r="BW599" s="113"/>
      <c r="BX599" s="113"/>
      <c r="BY599" s="113"/>
      <c r="BZ599" s="113"/>
      <c r="CA599" s="113"/>
      <c r="CB599" s="113"/>
    </row>
    <row r="600" spans="5:80" x14ac:dyDescent="0.25">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c r="AC600" s="113"/>
      <c r="AD600" s="113"/>
      <c r="AE600" s="113"/>
      <c r="AF600" s="113"/>
      <c r="AG600" s="113"/>
      <c r="AH600" s="113"/>
      <c r="AI600" s="113"/>
      <c r="AJ600" s="113"/>
      <c r="AK600" s="113"/>
      <c r="AL600" s="113"/>
      <c r="AM600" s="113"/>
      <c r="AN600" s="113"/>
      <c r="AO600" s="113"/>
      <c r="AP600" s="113"/>
      <c r="AQ600" s="113"/>
      <c r="AR600" s="113"/>
      <c r="AS600" s="113"/>
      <c r="AT600" s="113"/>
      <c r="AU600" s="113"/>
      <c r="AV600" s="113"/>
      <c r="AW600" s="113"/>
      <c r="AX600" s="113"/>
      <c r="AY600" s="113"/>
      <c r="AZ600" s="113"/>
      <c r="BA600" s="113"/>
      <c r="BB600" s="113"/>
      <c r="BC600" s="113"/>
      <c r="BD600" s="113"/>
      <c r="BE600" s="113"/>
      <c r="BF600" s="113"/>
      <c r="BG600" s="113"/>
      <c r="BH600" s="113"/>
      <c r="BI600" s="113"/>
      <c r="BJ600" s="113"/>
      <c r="BK600" s="113"/>
      <c r="BL600" s="113"/>
      <c r="BM600" s="113"/>
      <c r="BN600" s="113"/>
      <c r="BO600" s="113"/>
      <c r="BP600" s="113"/>
      <c r="BQ600" s="113"/>
      <c r="BR600" s="113"/>
      <c r="BS600" s="113"/>
      <c r="BT600" s="113"/>
      <c r="BU600" s="113"/>
      <c r="BV600" s="113"/>
      <c r="BW600" s="113"/>
      <c r="BX600" s="113"/>
      <c r="BY600" s="113"/>
      <c r="BZ600" s="113"/>
      <c r="CA600" s="113"/>
      <c r="CB600" s="113"/>
    </row>
    <row r="601" spans="5:80" x14ac:dyDescent="0.25">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c r="AC601" s="113"/>
      <c r="AD601" s="113"/>
      <c r="AE601" s="113"/>
      <c r="AF601" s="113"/>
      <c r="AG601" s="113"/>
      <c r="AH601" s="113"/>
      <c r="AI601" s="113"/>
      <c r="AJ601" s="113"/>
      <c r="AK601" s="113"/>
      <c r="AL601" s="113"/>
      <c r="AM601" s="113"/>
      <c r="AN601" s="113"/>
      <c r="AO601" s="113"/>
      <c r="AP601" s="113"/>
      <c r="AQ601" s="113"/>
      <c r="AR601" s="113"/>
      <c r="AS601" s="113"/>
      <c r="AT601" s="113"/>
      <c r="AU601" s="113"/>
      <c r="AV601" s="113"/>
      <c r="AW601" s="113"/>
      <c r="AX601" s="113"/>
      <c r="AY601" s="113"/>
      <c r="AZ601" s="113"/>
      <c r="BA601" s="113"/>
      <c r="BB601" s="113"/>
      <c r="BC601" s="113"/>
      <c r="BD601" s="113"/>
      <c r="BE601" s="113"/>
      <c r="BF601" s="113"/>
      <c r="BG601" s="113"/>
      <c r="BH601" s="113"/>
      <c r="BI601" s="113"/>
      <c r="BJ601" s="113"/>
      <c r="BK601" s="113"/>
      <c r="BL601" s="113"/>
      <c r="BM601" s="113"/>
      <c r="BN601" s="113"/>
      <c r="BO601" s="113"/>
      <c r="BP601" s="113"/>
      <c r="BQ601" s="113"/>
      <c r="BR601" s="113"/>
      <c r="BS601" s="113"/>
      <c r="BT601" s="113"/>
      <c r="BU601" s="113"/>
      <c r="BV601" s="113"/>
      <c r="BW601" s="113"/>
      <c r="BX601" s="113"/>
      <c r="BY601" s="113"/>
      <c r="BZ601" s="113"/>
      <c r="CA601" s="113"/>
      <c r="CB601" s="113"/>
    </row>
    <row r="602" spans="5:80" x14ac:dyDescent="0.25">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c r="AC602" s="113"/>
      <c r="AD602" s="113"/>
      <c r="AE602" s="113"/>
      <c r="AF602" s="113"/>
      <c r="AG602" s="113"/>
      <c r="AH602" s="113"/>
      <c r="AI602" s="113"/>
      <c r="AJ602" s="113"/>
      <c r="AK602" s="113"/>
      <c r="AL602" s="113"/>
      <c r="AM602" s="113"/>
      <c r="AN602" s="113"/>
      <c r="AO602" s="113"/>
      <c r="AP602" s="113"/>
      <c r="AQ602" s="113"/>
      <c r="AR602" s="113"/>
      <c r="AS602" s="113"/>
      <c r="AT602" s="113"/>
      <c r="AU602" s="113"/>
      <c r="AV602" s="113"/>
      <c r="AW602" s="113"/>
      <c r="AX602" s="113"/>
      <c r="AY602" s="113"/>
      <c r="AZ602" s="113"/>
      <c r="BA602" s="113"/>
      <c r="BB602" s="113"/>
      <c r="BC602" s="113"/>
      <c r="BD602" s="113"/>
      <c r="BE602" s="113"/>
      <c r="BF602" s="113"/>
      <c r="BG602" s="113"/>
      <c r="BH602" s="113"/>
      <c r="BI602" s="113"/>
      <c r="BJ602" s="113"/>
      <c r="BK602" s="113"/>
      <c r="BL602" s="113"/>
      <c r="BM602" s="113"/>
      <c r="BN602" s="113"/>
      <c r="BO602" s="113"/>
      <c r="BP602" s="113"/>
      <c r="BQ602" s="113"/>
      <c r="BR602" s="113"/>
      <c r="BS602" s="113"/>
      <c r="BT602" s="113"/>
      <c r="BU602" s="113"/>
      <c r="BV602" s="113"/>
      <c r="BW602" s="113"/>
      <c r="BX602" s="113"/>
      <c r="BY602" s="113"/>
      <c r="BZ602" s="113"/>
      <c r="CA602" s="113"/>
      <c r="CB602" s="113"/>
    </row>
    <row r="603" spans="5:80" x14ac:dyDescent="0.25">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c r="AC603" s="113"/>
      <c r="AD603" s="113"/>
      <c r="AE603" s="113"/>
      <c r="AF603" s="113"/>
      <c r="AG603" s="113"/>
      <c r="AH603" s="113"/>
      <c r="AI603" s="113"/>
      <c r="AJ603" s="113"/>
      <c r="AK603" s="113"/>
      <c r="AL603" s="113"/>
      <c r="AM603" s="113"/>
      <c r="AN603" s="113"/>
      <c r="AO603" s="113"/>
      <c r="AP603" s="113"/>
      <c r="AQ603" s="113"/>
      <c r="AR603" s="113"/>
      <c r="AS603" s="113"/>
      <c r="AT603" s="113"/>
      <c r="AU603" s="113"/>
      <c r="AV603" s="113"/>
      <c r="AW603" s="113"/>
      <c r="AX603" s="113"/>
      <c r="AY603" s="113"/>
      <c r="AZ603" s="113"/>
      <c r="BA603" s="113"/>
      <c r="BB603" s="113"/>
      <c r="BC603" s="113"/>
      <c r="BD603" s="113"/>
      <c r="BE603" s="113"/>
      <c r="BF603" s="113"/>
      <c r="BG603" s="113"/>
      <c r="BH603" s="113"/>
      <c r="BI603" s="113"/>
      <c r="BJ603" s="113"/>
      <c r="BK603" s="113"/>
      <c r="BL603" s="113"/>
      <c r="BM603" s="113"/>
      <c r="BN603" s="113"/>
      <c r="BO603" s="113"/>
      <c r="BP603" s="113"/>
      <c r="BQ603" s="113"/>
      <c r="BR603" s="113"/>
      <c r="BS603" s="113"/>
      <c r="BT603" s="113"/>
      <c r="BU603" s="113"/>
      <c r="BV603" s="113"/>
      <c r="BW603" s="113"/>
      <c r="BX603" s="113"/>
      <c r="BY603" s="113"/>
      <c r="BZ603" s="113"/>
      <c r="CA603" s="113"/>
      <c r="CB603" s="113"/>
    </row>
    <row r="604" spans="5:80" x14ac:dyDescent="0.25">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3"/>
      <c r="AY604" s="113"/>
      <c r="AZ604" s="113"/>
      <c r="BA604" s="113"/>
      <c r="BB604" s="113"/>
      <c r="BC604" s="113"/>
      <c r="BD604" s="113"/>
      <c r="BE604" s="113"/>
      <c r="BF604" s="113"/>
      <c r="BG604" s="113"/>
      <c r="BH604" s="113"/>
      <c r="BI604" s="113"/>
      <c r="BJ604" s="113"/>
      <c r="BK604" s="113"/>
      <c r="BL604" s="113"/>
      <c r="BM604" s="113"/>
      <c r="BN604" s="113"/>
      <c r="BO604" s="113"/>
      <c r="BP604" s="113"/>
      <c r="BQ604" s="113"/>
      <c r="BR604" s="113"/>
      <c r="BS604" s="113"/>
      <c r="BT604" s="113"/>
      <c r="BU604" s="113"/>
      <c r="BV604" s="113"/>
      <c r="BW604" s="113"/>
      <c r="BX604" s="113"/>
      <c r="BY604" s="113"/>
      <c r="BZ604" s="113"/>
      <c r="CA604" s="113"/>
      <c r="CB604" s="113"/>
    </row>
    <row r="605" spans="5:80" x14ac:dyDescent="0.25">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3"/>
      <c r="AY605" s="113"/>
      <c r="AZ605" s="113"/>
      <c r="BA605" s="113"/>
      <c r="BB605" s="113"/>
      <c r="BC605" s="113"/>
      <c r="BD605" s="113"/>
      <c r="BE605" s="113"/>
      <c r="BF605" s="113"/>
      <c r="BG605" s="113"/>
      <c r="BH605" s="113"/>
      <c r="BI605" s="113"/>
      <c r="BJ605" s="113"/>
      <c r="BK605" s="113"/>
      <c r="BL605" s="113"/>
      <c r="BM605" s="113"/>
      <c r="BN605" s="113"/>
      <c r="BO605" s="113"/>
      <c r="BP605" s="113"/>
      <c r="BQ605" s="113"/>
      <c r="BR605" s="113"/>
      <c r="BS605" s="113"/>
      <c r="BT605" s="113"/>
      <c r="BU605" s="113"/>
      <c r="BV605" s="113"/>
      <c r="BW605" s="113"/>
      <c r="BX605" s="113"/>
      <c r="BY605" s="113"/>
      <c r="BZ605" s="113"/>
      <c r="CA605" s="113"/>
      <c r="CB605" s="113"/>
    </row>
    <row r="606" spans="5:80" x14ac:dyDescent="0.25">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c r="AC606" s="113"/>
      <c r="AD606" s="113"/>
      <c r="AE606" s="113"/>
      <c r="AF606" s="113"/>
      <c r="AG606" s="113"/>
      <c r="AH606" s="113"/>
      <c r="AI606" s="113"/>
      <c r="AJ606" s="113"/>
      <c r="AK606" s="113"/>
      <c r="AL606" s="113"/>
      <c r="AM606" s="113"/>
      <c r="AN606" s="113"/>
      <c r="AO606" s="113"/>
      <c r="AP606" s="113"/>
      <c r="AQ606" s="113"/>
      <c r="AR606" s="113"/>
      <c r="AS606" s="113"/>
      <c r="AT606" s="113"/>
      <c r="AU606" s="113"/>
      <c r="AV606" s="113"/>
      <c r="AW606" s="113"/>
      <c r="AX606" s="113"/>
      <c r="AY606" s="113"/>
      <c r="AZ606" s="113"/>
      <c r="BA606" s="113"/>
      <c r="BB606" s="113"/>
      <c r="BC606" s="113"/>
      <c r="BD606" s="113"/>
      <c r="BE606" s="113"/>
      <c r="BF606" s="113"/>
      <c r="BG606" s="113"/>
      <c r="BH606" s="113"/>
      <c r="BI606" s="113"/>
      <c r="BJ606" s="113"/>
      <c r="BK606" s="113"/>
      <c r="BL606" s="113"/>
      <c r="BM606" s="113"/>
      <c r="BN606" s="113"/>
      <c r="BO606" s="113"/>
      <c r="BP606" s="113"/>
      <c r="BQ606" s="113"/>
      <c r="BR606" s="113"/>
      <c r="BS606" s="113"/>
      <c r="BT606" s="113"/>
      <c r="BU606" s="113"/>
      <c r="BV606" s="113"/>
      <c r="BW606" s="113"/>
      <c r="BX606" s="113"/>
      <c r="BY606" s="113"/>
      <c r="BZ606" s="113"/>
      <c r="CA606" s="113"/>
      <c r="CB606" s="113"/>
    </row>
    <row r="607" spans="5:80" x14ac:dyDescent="0.25">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c r="AC607" s="113"/>
      <c r="AD607" s="113"/>
      <c r="AE607" s="113"/>
      <c r="AF607" s="113"/>
      <c r="AG607" s="113"/>
      <c r="AH607" s="113"/>
      <c r="AI607" s="113"/>
      <c r="AJ607" s="113"/>
      <c r="AK607" s="113"/>
      <c r="AL607" s="113"/>
      <c r="AM607" s="113"/>
      <c r="AN607" s="113"/>
      <c r="AO607" s="113"/>
      <c r="AP607" s="113"/>
      <c r="AQ607" s="113"/>
      <c r="AR607" s="113"/>
      <c r="AS607" s="113"/>
      <c r="AT607" s="113"/>
      <c r="AU607" s="113"/>
      <c r="AV607" s="113"/>
      <c r="AW607" s="113"/>
      <c r="AX607" s="113"/>
      <c r="AY607" s="113"/>
      <c r="AZ607" s="113"/>
      <c r="BA607" s="113"/>
      <c r="BB607" s="113"/>
      <c r="BC607" s="113"/>
      <c r="BD607" s="113"/>
      <c r="BE607" s="113"/>
      <c r="BF607" s="113"/>
      <c r="BG607" s="113"/>
      <c r="BH607" s="113"/>
      <c r="BI607" s="113"/>
      <c r="BJ607" s="113"/>
      <c r="BK607" s="113"/>
      <c r="BL607" s="113"/>
      <c r="BM607" s="113"/>
      <c r="BN607" s="113"/>
      <c r="BO607" s="113"/>
      <c r="BP607" s="113"/>
      <c r="BQ607" s="113"/>
      <c r="BR607" s="113"/>
      <c r="BS607" s="113"/>
      <c r="BT607" s="113"/>
      <c r="BU607" s="113"/>
      <c r="BV607" s="113"/>
      <c r="BW607" s="113"/>
      <c r="BX607" s="113"/>
      <c r="BY607" s="113"/>
      <c r="BZ607" s="113"/>
      <c r="CA607" s="113"/>
      <c r="CB607" s="113"/>
    </row>
    <row r="608" spans="5:80" x14ac:dyDescent="0.25">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c r="AC608" s="113"/>
      <c r="AD608" s="113"/>
      <c r="AE608" s="113"/>
      <c r="AF608" s="113"/>
      <c r="AG608" s="113"/>
      <c r="AH608" s="113"/>
      <c r="AI608" s="113"/>
      <c r="AJ608" s="113"/>
      <c r="AK608" s="113"/>
      <c r="AL608" s="113"/>
      <c r="AM608" s="113"/>
      <c r="AN608" s="113"/>
      <c r="AO608" s="113"/>
      <c r="AP608" s="113"/>
      <c r="AQ608" s="113"/>
      <c r="AR608" s="113"/>
      <c r="AS608" s="113"/>
      <c r="AT608" s="113"/>
      <c r="AU608" s="113"/>
      <c r="AV608" s="113"/>
      <c r="AW608" s="113"/>
      <c r="AX608" s="113"/>
      <c r="AY608" s="113"/>
      <c r="AZ608" s="113"/>
      <c r="BA608" s="113"/>
      <c r="BB608" s="113"/>
      <c r="BC608" s="113"/>
      <c r="BD608" s="113"/>
      <c r="BE608" s="113"/>
      <c r="BF608" s="113"/>
      <c r="BG608" s="113"/>
      <c r="BH608" s="113"/>
      <c r="BI608" s="113"/>
      <c r="BJ608" s="113"/>
      <c r="BK608" s="113"/>
      <c r="BL608" s="113"/>
      <c r="BM608" s="113"/>
      <c r="BN608" s="113"/>
      <c r="BO608" s="113"/>
      <c r="BP608" s="113"/>
      <c r="BQ608" s="113"/>
      <c r="BR608" s="113"/>
      <c r="BS608" s="113"/>
      <c r="BT608" s="113"/>
      <c r="BU608" s="113"/>
      <c r="BV608" s="113"/>
      <c r="BW608" s="113"/>
      <c r="BX608" s="113"/>
      <c r="BY608" s="113"/>
      <c r="BZ608" s="113"/>
      <c r="CA608" s="113"/>
      <c r="CB608" s="113"/>
    </row>
    <row r="609" spans="5:80" x14ac:dyDescent="0.25">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c r="AC609" s="113"/>
      <c r="AD609" s="113"/>
      <c r="AE609" s="113"/>
      <c r="AF609" s="113"/>
      <c r="AG609" s="113"/>
      <c r="AH609" s="113"/>
      <c r="AI609" s="113"/>
      <c r="AJ609" s="113"/>
      <c r="AK609" s="113"/>
      <c r="AL609" s="113"/>
      <c r="AM609" s="113"/>
      <c r="AN609" s="113"/>
      <c r="AO609" s="113"/>
      <c r="AP609" s="113"/>
      <c r="AQ609" s="113"/>
      <c r="AR609" s="113"/>
      <c r="AS609" s="113"/>
      <c r="AT609" s="113"/>
      <c r="AU609" s="113"/>
      <c r="AV609" s="113"/>
      <c r="AW609" s="113"/>
      <c r="AX609" s="113"/>
      <c r="AY609" s="113"/>
      <c r="AZ609" s="113"/>
      <c r="BA609" s="113"/>
      <c r="BB609" s="113"/>
      <c r="BC609" s="113"/>
      <c r="BD609" s="113"/>
      <c r="BE609" s="113"/>
      <c r="BF609" s="113"/>
      <c r="BG609" s="113"/>
      <c r="BH609" s="113"/>
      <c r="BI609" s="113"/>
      <c r="BJ609" s="113"/>
      <c r="BK609" s="113"/>
      <c r="BL609" s="113"/>
      <c r="BM609" s="113"/>
      <c r="BN609" s="113"/>
      <c r="BO609" s="113"/>
      <c r="BP609" s="113"/>
      <c r="BQ609" s="113"/>
      <c r="BR609" s="113"/>
      <c r="BS609" s="113"/>
      <c r="BT609" s="113"/>
      <c r="BU609" s="113"/>
      <c r="BV609" s="113"/>
      <c r="BW609" s="113"/>
      <c r="BX609" s="113"/>
      <c r="BY609" s="113"/>
      <c r="BZ609" s="113"/>
      <c r="CA609" s="113"/>
      <c r="CB609" s="113"/>
    </row>
    <row r="610" spans="5:80" x14ac:dyDescent="0.25">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c r="AX610" s="113"/>
      <c r="AY610" s="113"/>
      <c r="AZ610" s="113"/>
      <c r="BA610" s="113"/>
      <c r="BB610" s="113"/>
      <c r="BC610" s="113"/>
      <c r="BD610" s="113"/>
      <c r="BE610" s="113"/>
      <c r="BF610" s="113"/>
      <c r="BG610" s="113"/>
      <c r="BH610" s="113"/>
      <c r="BI610" s="113"/>
      <c r="BJ610" s="113"/>
      <c r="BK610" s="113"/>
      <c r="BL610" s="113"/>
      <c r="BM610" s="113"/>
      <c r="BN610" s="113"/>
      <c r="BO610" s="113"/>
      <c r="BP610" s="113"/>
      <c r="BQ610" s="113"/>
      <c r="BR610" s="113"/>
      <c r="BS610" s="113"/>
      <c r="BT610" s="113"/>
      <c r="BU610" s="113"/>
      <c r="BV610" s="113"/>
      <c r="BW610" s="113"/>
      <c r="BX610" s="113"/>
      <c r="BY610" s="113"/>
      <c r="BZ610" s="113"/>
      <c r="CA610" s="113"/>
      <c r="CB610" s="113"/>
    </row>
    <row r="611" spans="5:80" x14ac:dyDescent="0.25">
      <c r="E611" s="113"/>
      <c r="F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c r="AC611" s="113"/>
      <c r="AD611" s="113"/>
      <c r="AE611" s="113"/>
      <c r="AF611" s="113"/>
      <c r="AG611" s="113"/>
      <c r="AH611" s="113"/>
      <c r="AI611" s="113"/>
      <c r="AJ611" s="113"/>
      <c r="AK611" s="113"/>
      <c r="AL611" s="113"/>
      <c r="AM611" s="113"/>
      <c r="AN611" s="113"/>
      <c r="AO611" s="113"/>
      <c r="AP611" s="113"/>
      <c r="AQ611" s="113"/>
      <c r="AR611" s="113"/>
      <c r="AS611" s="113"/>
      <c r="AT611" s="113"/>
      <c r="AU611" s="113"/>
      <c r="AV611" s="113"/>
      <c r="AW611" s="113"/>
      <c r="AX611" s="113"/>
      <c r="AY611" s="113"/>
      <c r="AZ611" s="113"/>
      <c r="BA611" s="113"/>
      <c r="BB611" s="113"/>
      <c r="BC611" s="113"/>
      <c r="BD611" s="113"/>
      <c r="BE611" s="113"/>
      <c r="BF611" s="113"/>
      <c r="BG611" s="113"/>
      <c r="BH611" s="113"/>
      <c r="BI611" s="113"/>
      <c r="BJ611" s="113"/>
      <c r="BK611" s="113"/>
      <c r="BL611" s="113"/>
      <c r="BM611" s="113"/>
      <c r="BN611" s="113"/>
      <c r="BO611" s="113"/>
      <c r="BP611" s="113"/>
      <c r="BQ611" s="113"/>
      <c r="BR611" s="113"/>
      <c r="BS611" s="113"/>
      <c r="BT611" s="113"/>
      <c r="BU611" s="113"/>
      <c r="BV611" s="113"/>
      <c r="BW611" s="113"/>
      <c r="BX611" s="113"/>
      <c r="BY611" s="113"/>
      <c r="BZ611" s="113"/>
      <c r="CA611" s="113"/>
      <c r="CB611" s="113"/>
    </row>
    <row r="612" spans="5:80" x14ac:dyDescent="0.25">
      <c r="E612" s="113"/>
      <c r="F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c r="AC612" s="113"/>
      <c r="AD612" s="113"/>
      <c r="AE612" s="113"/>
      <c r="AF612" s="113"/>
      <c r="AG612" s="113"/>
      <c r="AH612" s="113"/>
      <c r="AI612" s="113"/>
      <c r="AJ612" s="113"/>
      <c r="AK612" s="113"/>
      <c r="AL612" s="113"/>
      <c r="AM612" s="113"/>
      <c r="AN612" s="113"/>
      <c r="AO612" s="113"/>
      <c r="AP612" s="113"/>
      <c r="AQ612" s="113"/>
      <c r="AR612" s="113"/>
      <c r="AS612" s="113"/>
      <c r="AT612" s="113"/>
      <c r="AU612" s="113"/>
      <c r="AV612" s="113"/>
      <c r="AW612" s="113"/>
      <c r="AX612" s="113"/>
      <c r="AY612" s="113"/>
      <c r="AZ612" s="113"/>
      <c r="BA612" s="113"/>
      <c r="BB612" s="113"/>
      <c r="BC612" s="113"/>
      <c r="BD612" s="113"/>
      <c r="BE612" s="113"/>
      <c r="BF612" s="113"/>
      <c r="BG612" s="113"/>
      <c r="BH612" s="113"/>
      <c r="BI612" s="113"/>
      <c r="BJ612" s="113"/>
      <c r="BK612" s="113"/>
      <c r="BL612" s="113"/>
      <c r="BM612" s="113"/>
      <c r="BN612" s="113"/>
      <c r="BO612" s="113"/>
      <c r="BP612" s="113"/>
      <c r="BQ612" s="113"/>
      <c r="BR612" s="113"/>
      <c r="BS612" s="113"/>
      <c r="BT612" s="113"/>
      <c r="BU612" s="113"/>
      <c r="BV612" s="113"/>
      <c r="BW612" s="113"/>
      <c r="BX612" s="113"/>
      <c r="BY612" s="113"/>
      <c r="BZ612" s="113"/>
      <c r="CA612" s="113"/>
      <c r="CB612" s="113"/>
    </row>
  </sheetData>
  <sheetProtection algorithmName="SHA-512" hashValue="T5lYcAxbZ8o1XmkfImlyOBITPQc6P/QN5RxCXbB1BagFbCQk7gMqSCRljcrXzupKiZoPiMqkpZVS08rbDJLmbg==" saltValue="uAJ7MFdw9SOwut9kdrEB4w==" spinCount="100000" sheet="1" selectLockedCells="1"/>
  <mergeCells count="3">
    <mergeCell ref="A1:D1"/>
    <mergeCell ref="A2:D2"/>
    <mergeCell ref="A12:D12"/>
  </mergeCells>
  <dataValidations count="6">
    <dataValidation allowBlank="1" showInputMessage="1" showErrorMessage="1" prompt="Please select code representing validation type of report (&quot;MLAG-PR-UA&quot; is for performance report unaudited - mainly quarterly; &quot;MLAG-PR-A&quot; is for performance report audited - mainly annual)" sqref="C6" xr:uid="{00000000-0002-0000-0900-000000000000}"/>
    <dataValidation allowBlank="1" showInputMessage="1" showErrorMessage="1" prompt="Please state Month/Year ending the reporting period (e.g. 12/2014 for quarter ending December 2014)" sqref="C8" xr:uid="{00000000-0002-0000-0900-000001000000}"/>
    <dataValidation allowBlank="1" showInputMessage="1" showErrorMessage="1" prompt="Please state the period covered by the report (e.g. October-December 2014 for quarter ending December 2014)." sqref="C7" xr:uid="{00000000-0002-0000-0900-000002000000}"/>
    <dataValidation allowBlank="1" showInputMessage="1" showErrorMessage="1" prompt="Please input the MCAG membership ID given to you by MCAG here." sqref="C5" xr:uid="{00000000-0002-0000-0900-000003000000}"/>
    <dataValidation allowBlank="1" showInputMessage="1" showErrorMessage="1" prompt="Please input your registered business name as appears on your BoG License" sqref="C4" xr:uid="{00000000-0002-0000-0900-000004000000}"/>
    <dataValidation type="custom" operator="greaterThanOrEqual" allowBlank="1" showInputMessage="1" showErrorMessage="1" error="Please enter a valid amount to proceed" prompt="Please make sure that your input is an amount value" sqref="D15:D26" xr:uid="{00000000-0002-0000-0900-000005000000}">
      <formula1>ISNUMBER(D15)</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sheetPr>
  <dimension ref="A1:I28"/>
  <sheetViews>
    <sheetView zoomScale="75" zoomScaleNormal="100" workbookViewId="0">
      <selection activeCell="D25" sqref="D25"/>
    </sheetView>
  </sheetViews>
  <sheetFormatPr defaultColWidth="9.28515625" defaultRowHeight="15.75" x14ac:dyDescent="0.25"/>
  <cols>
    <col min="1" max="1" width="6.7109375" style="9" customWidth="1"/>
    <col min="2" max="2" width="57.28515625" style="48" bestFit="1" customWidth="1"/>
    <col min="3" max="3" width="78.7109375" style="49" customWidth="1"/>
    <col min="4" max="4" width="29.28515625" style="11" customWidth="1"/>
    <col min="5" max="5" width="11.28515625" style="13" customWidth="1"/>
    <col min="6" max="6" width="11.42578125" style="13" customWidth="1"/>
    <col min="7" max="7" width="9.28515625" style="13"/>
    <col min="8" max="8" width="0" style="13" hidden="1" customWidth="1"/>
    <col min="9" max="9" width="8.28515625" style="13" hidden="1" customWidth="1"/>
    <col min="10" max="10" width="0" style="13" hidden="1" customWidth="1"/>
    <col min="11" max="16384" width="9.28515625" style="13"/>
  </cols>
  <sheetData>
    <row r="1" spans="1:9" s="14" customFormat="1" ht="18.75" x14ac:dyDescent="0.25">
      <c r="A1" s="426" t="str">
        <f>'Profit &amp; Loss Statement'!A1:D1</f>
        <v xml:space="preserve">GHANA CO-OPERATIVE SUSU COLLECTORS ASSOCIATION </v>
      </c>
      <c r="B1" s="426"/>
      <c r="C1" s="426"/>
      <c r="D1" s="426"/>
      <c r="E1" s="12">
        <f>SUM(D4:D10) +IF(D15=0,1,0)+IF(D22=0,1,0)+IF(D18=0,1,0)</f>
        <v>0</v>
      </c>
      <c r="F1" s="47" t="str">
        <f>IF(SUM(D4:D10)&gt;0,"Error!", IF(D15=0,"Error!", IF(D16=0,"Error!", "")))</f>
        <v/>
      </c>
    </row>
    <row r="2" spans="1:9" s="14" customFormat="1" ht="18.75" x14ac:dyDescent="0.25">
      <c r="A2" s="426" t="str">
        <f>'Profit &amp; Loss Statement'!A2:D2</f>
        <v>MEMBERS REPORTING TEMPLATE</v>
      </c>
      <c r="B2" s="426"/>
      <c r="C2" s="426"/>
      <c r="D2" s="426"/>
    </row>
    <row r="3" spans="1:9" x14ac:dyDescent="0.25">
      <c r="A3" s="15"/>
    </row>
    <row r="4" spans="1:9" s="16" customFormat="1" x14ac:dyDescent="0.25">
      <c r="A4" s="11"/>
      <c r="B4" s="17" t="s">
        <v>9</v>
      </c>
      <c r="C4" s="50" t="str">
        <f>IF('Profit &amp; Loss Statement'!C4 = "", "", 'Profit &amp; Loss Statement'!C4)</f>
        <v>QUICK RETURNS SUSU ENTERPRISE</v>
      </c>
      <c r="D4" s="18">
        <f>IF(C4="",1,IF(ISTEXT(C4),0,1))+IF(OR(ISNUMBER(LEFT(C4)),LEFT(C4)=" "),1,0)</f>
        <v>0</v>
      </c>
    </row>
    <row r="5" spans="1:9" s="16" customFormat="1" x14ac:dyDescent="0.25">
      <c r="A5" s="11"/>
      <c r="B5" s="17" t="s">
        <v>10</v>
      </c>
      <c r="C5" s="50" t="str">
        <f>IF('Profit &amp; Loss Statement'!C5 = "", "", 'Profit &amp; Loss Statement'!C5)</f>
        <v xml:space="preserve">
GCSCA-GT-0-0000288</v>
      </c>
      <c r="D5" s="18">
        <f>IF(C5="",1,IF(ISTEXT(C5),0,1))+IF(OR(ISNUMBER(LEFT(C5)),LEFT(C5)=" "),1,0)</f>
        <v>0</v>
      </c>
    </row>
    <row r="6" spans="1:9" s="19" customFormat="1" x14ac:dyDescent="0.25">
      <c r="A6" s="51"/>
      <c r="B6" s="17" t="s">
        <v>11</v>
      </c>
      <c r="C6" s="134" t="str">
        <f>IF('Profit &amp; Loss Statement'!C6 = "", "", 'Profit &amp; Loss Statement'!C6)</f>
        <v xml:space="preserve">GCSCA-PR-UA </v>
      </c>
      <c r="D6" s="18">
        <f>IF(C6="",1,IF(ISTEXT(C6),0,1))</f>
        <v>0</v>
      </c>
    </row>
    <row r="7" spans="1:9" s="16" customFormat="1" x14ac:dyDescent="0.25">
      <c r="A7" s="11"/>
      <c r="B7" s="17" t="s">
        <v>12</v>
      </c>
      <c r="C7" s="50" t="str">
        <f>IF('Profit &amp; Loss Statement'!C7 = "", "", 'Profit &amp; Loss Statement'!C7)</f>
        <v>JUNE</v>
      </c>
      <c r="D7" s="18">
        <f>IF(C7="",1,IF(ISTEXT(C7),0,1))</f>
        <v>0</v>
      </c>
    </row>
    <row r="8" spans="1:9" s="19" customFormat="1" x14ac:dyDescent="0.25">
      <c r="A8" s="51"/>
      <c r="B8" s="17" t="s">
        <v>13</v>
      </c>
      <c r="C8" s="52" t="str">
        <f>IF('Profit &amp; Loss Statement'!C8 = "", "", 'Profit &amp; Loss Statement'!C8)</f>
        <v>July 2026</v>
      </c>
      <c r="D8" s="18">
        <f>IF(C8="",1, 0)</f>
        <v>0</v>
      </c>
    </row>
    <row r="9" spans="1:9" s="21" customFormat="1" x14ac:dyDescent="0.25">
      <c r="A9" s="20"/>
      <c r="B9" s="17" t="s">
        <v>14</v>
      </c>
      <c r="C9" s="135" t="str">
        <f>'Profit &amp; Loss Statement'!C9</f>
        <v>2026</v>
      </c>
      <c r="D9" s="18">
        <f>IF(C9="",1, 0)</f>
        <v>0</v>
      </c>
    </row>
    <row r="10" spans="1:9" x14ac:dyDescent="0.25">
      <c r="A10" s="24"/>
      <c r="B10" s="17" t="s">
        <v>156</v>
      </c>
      <c r="C10" s="50" t="str">
        <f>IF('Cover Sheet'!C10="", "", 'Cover Sheet'!C10)</f>
        <v>Greater Accra-GA</v>
      </c>
      <c r="D10" s="18">
        <f>IF(C10="",1, 0)</f>
        <v>0</v>
      </c>
    </row>
    <row r="11" spans="1:9" x14ac:dyDescent="0.25">
      <c r="A11" s="367" t="s">
        <v>84</v>
      </c>
      <c r="B11" s="375" t="s">
        <v>85</v>
      </c>
      <c r="C11" s="366"/>
      <c r="D11" s="370"/>
    </row>
    <row r="12" spans="1:9" x14ac:dyDescent="0.25">
      <c r="A12" s="25" t="s">
        <v>86</v>
      </c>
      <c r="B12" s="359" t="s">
        <v>367</v>
      </c>
      <c r="C12" s="60"/>
      <c r="D12" s="4">
        <v>0</v>
      </c>
    </row>
    <row r="13" spans="1:9" x14ac:dyDescent="0.25">
      <c r="A13" s="25" t="s">
        <v>87</v>
      </c>
      <c r="B13" s="359" t="s">
        <v>368</v>
      </c>
      <c r="C13" s="60"/>
      <c r="D13" s="4">
        <v>0</v>
      </c>
    </row>
    <row r="14" spans="1:9" x14ac:dyDescent="0.25">
      <c r="A14" s="43"/>
      <c r="B14" s="125" t="s">
        <v>151</v>
      </c>
      <c r="C14" s="74"/>
      <c r="D14" s="75"/>
    </row>
    <row r="15" spans="1:9" x14ac:dyDescent="0.25">
      <c r="A15" s="25" t="s">
        <v>321</v>
      </c>
      <c r="B15" s="72" t="s">
        <v>88</v>
      </c>
      <c r="C15" s="392" t="s">
        <v>355</v>
      </c>
      <c r="D15" s="4">
        <v>3</v>
      </c>
      <c r="E15" s="142" t="str">
        <f>IF(D15="", "Error!", "")</f>
        <v/>
      </c>
      <c r="I15" s="13">
        <f>IF(D15="", 1, 0)</f>
        <v>0</v>
      </c>
    </row>
    <row r="16" spans="1:9" x14ac:dyDescent="0.25">
      <c r="A16" s="25" t="s">
        <v>322</v>
      </c>
      <c r="B16" s="72" t="s">
        <v>370</v>
      </c>
      <c r="C16" s="392" t="s">
        <v>355</v>
      </c>
      <c r="D16" s="4">
        <v>1</v>
      </c>
      <c r="E16" s="142" t="str">
        <f t="shared" ref="E16:E27" si="0">IF(D16="", "Error!", "")</f>
        <v/>
      </c>
      <c r="I16" s="13">
        <f t="shared" ref="I16:I27" si="1">IF(D16="", 1, 0)</f>
        <v>0</v>
      </c>
    </row>
    <row r="17" spans="1:9" x14ac:dyDescent="0.25">
      <c r="A17" s="25" t="s">
        <v>323</v>
      </c>
      <c r="B17" s="72" t="s">
        <v>371</v>
      </c>
      <c r="C17" s="392" t="s">
        <v>355</v>
      </c>
      <c r="D17" s="4">
        <v>2</v>
      </c>
      <c r="E17" s="142"/>
    </row>
    <row r="18" spans="1:9" x14ac:dyDescent="0.25">
      <c r="A18" s="25" t="s">
        <v>324</v>
      </c>
      <c r="B18" s="72" t="s">
        <v>369</v>
      </c>
      <c r="C18" s="392" t="s">
        <v>357</v>
      </c>
      <c r="D18" s="4">
        <v>2</v>
      </c>
      <c r="E18" s="142" t="str">
        <f t="shared" si="0"/>
        <v/>
      </c>
      <c r="I18" s="13">
        <f t="shared" si="1"/>
        <v>0</v>
      </c>
    </row>
    <row r="19" spans="1:9" x14ac:dyDescent="0.25">
      <c r="A19" s="25" t="s">
        <v>325</v>
      </c>
      <c r="B19" s="72" t="s">
        <v>89</v>
      </c>
      <c r="C19" s="73"/>
      <c r="D19" s="4">
        <v>0</v>
      </c>
      <c r="E19" s="142"/>
    </row>
    <row r="20" spans="1:9" x14ac:dyDescent="0.25">
      <c r="A20" s="25" t="s">
        <v>326</v>
      </c>
      <c r="B20" s="72" t="s">
        <v>90</v>
      </c>
      <c r="C20" s="73"/>
      <c r="D20" s="4">
        <v>0</v>
      </c>
      <c r="E20" s="142"/>
    </row>
    <row r="21" spans="1:9" x14ac:dyDescent="0.25">
      <c r="A21" s="99"/>
      <c r="B21" s="126" t="s">
        <v>152</v>
      </c>
      <c r="C21" s="100"/>
      <c r="D21" s="101"/>
      <c r="E21" s="142"/>
    </row>
    <row r="22" spans="1:9" x14ac:dyDescent="0.25">
      <c r="A22" s="25" t="s">
        <v>327</v>
      </c>
      <c r="B22" s="72" t="s">
        <v>91</v>
      </c>
      <c r="C22" s="73"/>
      <c r="D22" s="4">
        <v>1</v>
      </c>
      <c r="E22" s="142" t="str">
        <f t="shared" si="0"/>
        <v/>
      </c>
      <c r="I22" s="13">
        <f t="shared" si="1"/>
        <v>0</v>
      </c>
    </row>
    <row r="23" spans="1:9" x14ac:dyDescent="0.25">
      <c r="A23" s="25" t="s">
        <v>328</v>
      </c>
      <c r="B23" s="72" t="s">
        <v>372</v>
      </c>
      <c r="C23" s="73"/>
      <c r="D23" s="329">
        <v>0</v>
      </c>
      <c r="E23" s="142" t="str">
        <f t="shared" si="0"/>
        <v/>
      </c>
      <c r="I23" s="13">
        <f t="shared" si="1"/>
        <v>0</v>
      </c>
    </row>
    <row r="24" spans="1:9" x14ac:dyDescent="0.25">
      <c r="A24" s="25" t="s">
        <v>329</v>
      </c>
      <c r="B24" s="72" t="s">
        <v>373</v>
      </c>
      <c r="C24" s="73"/>
      <c r="D24" s="329">
        <v>1</v>
      </c>
      <c r="E24" s="142"/>
    </row>
    <row r="25" spans="1:9" x14ac:dyDescent="0.25">
      <c r="A25" s="25" t="s">
        <v>330</v>
      </c>
      <c r="B25" s="72" t="s">
        <v>92</v>
      </c>
      <c r="C25" s="73"/>
      <c r="D25" s="329">
        <v>0</v>
      </c>
      <c r="E25" s="142" t="str">
        <f t="shared" si="0"/>
        <v/>
      </c>
      <c r="I25" s="13">
        <f t="shared" si="1"/>
        <v>0</v>
      </c>
    </row>
    <row r="26" spans="1:9" x14ac:dyDescent="0.25">
      <c r="A26" s="25" t="s">
        <v>331</v>
      </c>
      <c r="B26" s="72" t="s">
        <v>174</v>
      </c>
      <c r="C26" s="73"/>
      <c r="D26" s="329">
        <v>3</v>
      </c>
      <c r="E26" s="142" t="str">
        <f t="shared" si="0"/>
        <v/>
      </c>
      <c r="I26" s="13">
        <f t="shared" si="1"/>
        <v>0</v>
      </c>
    </row>
    <row r="27" spans="1:9" x14ac:dyDescent="0.25">
      <c r="A27" s="25" t="s">
        <v>332</v>
      </c>
      <c r="B27" s="50" t="s">
        <v>175</v>
      </c>
      <c r="C27" s="60"/>
      <c r="D27" s="329">
        <v>0</v>
      </c>
      <c r="E27" s="142" t="str">
        <f t="shared" si="0"/>
        <v/>
      </c>
      <c r="I27" s="13">
        <f t="shared" si="1"/>
        <v>0</v>
      </c>
    </row>
    <row r="28" spans="1:9" x14ac:dyDescent="0.25">
      <c r="D28" s="7"/>
    </row>
  </sheetData>
  <sheetProtection algorithmName="SHA-512" hashValue="ygHV3NJsTDCBExmcncFuYzEub1cOHXglE5RFq7ngnnuEpVVKh+sOpI44jDjUNaZKQg5ICzpN3VTlVbrPdIwuuQ==" saltValue="Bn0Ij0QKguVQ5akLnh6nRQ==" spinCount="100000" sheet="1" selectLockedCells="1"/>
  <mergeCells count="2">
    <mergeCell ref="A1:D1"/>
    <mergeCell ref="A2:D2"/>
  </mergeCells>
  <phoneticPr fontId="76" type="noConversion"/>
  <dataValidations xWindow="634" yWindow="629" count="7">
    <dataValidation type="whole" operator="greaterThanOrEqual" allowBlank="1" showInputMessage="1" showErrorMessage="1" error="Please enter a valid number to proceed" prompt="Please make sure that your input is a number." sqref="D12:D13 D26 D19:D20" xr:uid="{00000000-0002-0000-0A00-000000000000}">
      <formula1>0</formula1>
    </dataValidation>
    <dataValidation type="whole" operator="greaterThanOrEqual" allowBlank="1" showInputMessage="1" showErrorMessage="1" error="Please enter a valid number to proceed" prompt="Please make sure that your input is a number." sqref="D15 D18" xr:uid="{00000000-0002-0000-0A00-000001000000}">
      <formula1>1</formula1>
    </dataValidation>
    <dataValidation type="whole" operator="greaterThanOrEqual" allowBlank="1" showInputMessage="1" showErrorMessage="1" error="Please enter a valid number to proceed" prompt="Please enter a number or zero if you do not have a female staff" sqref="D16:D17" xr:uid="{00000000-0002-0000-0A00-000002000000}">
      <formula1>0</formula1>
    </dataValidation>
    <dataValidation type="whole" operator="greaterThanOrEqual" allowBlank="1" showInputMessage="1" showErrorMessage="1" error="Please enter a valid number to proceed" prompt="Please enter the number of personnels in Management Positions" sqref="D22" xr:uid="{00000000-0002-0000-0A00-000003000000}">
      <formula1>0</formula1>
    </dataValidation>
    <dataValidation type="whole" operator="greaterThanOrEqual" allowBlank="1" showInputMessage="1" showErrorMessage="1" error="Please enter a valid number to proceed" prompt="Please enter a number or zero if there is no female management staff" sqref="D23:D24" xr:uid="{00000000-0002-0000-0A00-000004000000}">
      <formula1>0</formula1>
    </dataValidation>
    <dataValidation type="whole" operator="greaterThanOrEqual" allowBlank="1" showInputMessage="1" showErrorMessage="1" error="Please enter a valid number to proceed" prompt="Please enter a number or zero if there was no management meeting held." sqref="D25" xr:uid="{00000000-0002-0000-0A00-000005000000}">
      <formula1>0</formula1>
    </dataValidation>
    <dataValidation type="whole" operator="greaterThanOrEqual" allowBlank="1" showInputMessage="1" showErrorMessage="1" error="Please enter a valid number to proceed" prompt="Please enter a number or zero if there was no Advisory Committee meeting held." sqref="D27" xr:uid="{00000000-0002-0000-0A00-000006000000}">
      <formula1>0</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sheetPr>
  <dimension ref="A1:L45"/>
  <sheetViews>
    <sheetView topLeftCell="A7" zoomScaleNormal="100" workbookViewId="0">
      <selection activeCell="D17" sqref="D17"/>
    </sheetView>
  </sheetViews>
  <sheetFormatPr defaultRowHeight="15.75" x14ac:dyDescent="0.25"/>
  <cols>
    <col min="1" max="1" width="7.28515625" style="68" customWidth="1"/>
    <col min="2" max="2" width="55.42578125" style="48" customWidth="1"/>
    <col min="3" max="3" width="42.7109375" style="68" customWidth="1"/>
    <col min="4" max="4" width="20.7109375" style="68" customWidth="1"/>
    <col min="5" max="5" width="19.5703125" style="68" customWidth="1"/>
    <col min="6" max="6" width="9.28515625" style="13"/>
    <col min="7" max="7" width="12.28515625" style="13" bestFit="1" customWidth="1"/>
    <col min="8" max="11" width="9.28515625" style="13"/>
    <col min="12" max="12" width="9.5703125" style="13" bestFit="1" customWidth="1"/>
    <col min="13" max="216" width="9.28515625" style="13"/>
    <col min="217" max="217" width="7.28515625" style="13" customWidth="1"/>
    <col min="218" max="218" width="55.42578125" style="13" customWidth="1"/>
    <col min="219" max="219" width="42.7109375" style="13" customWidth="1"/>
    <col min="220" max="220" width="20.7109375" style="13" customWidth="1"/>
    <col min="221" max="222" width="19.5703125" style="13" customWidth="1"/>
    <col min="223" max="223" width="24.5703125" style="13" customWidth="1"/>
    <col min="224" max="224" width="19" style="13" customWidth="1"/>
    <col min="225" max="225" width="17.7109375" style="13" customWidth="1"/>
    <col min="226" max="226" width="19.28515625" style="13" customWidth="1"/>
    <col min="227" max="227" width="17.7109375" style="13" customWidth="1"/>
    <col min="228" max="229" width="16.7109375" style="13" customWidth="1"/>
    <col min="230" max="231" width="19" style="13" customWidth="1"/>
    <col min="232" max="232" width="18.5703125" style="13" customWidth="1"/>
    <col min="233" max="233" width="19" style="13" customWidth="1"/>
    <col min="234" max="234" width="17.28515625" style="13" customWidth="1"/>
    <col min="235" max="236" width="18" style="13" customWidth="1"/>
    <col min="237" max="239" width="16" style="13" customWidth="1"/>
    <col min="240" max="241" width="15.7109375" style="13" customWidth="1"/>
    <col min="242" max="472" width="9.28515625" style="13"/>
    <col min="473" max="473" width="7.28515625" style="13" customWidth="1"/>
    <col min="474" max="474" width="55.42578125" style="13" customWidth="1"/>
    <col min="475" max="475" width="42.7109375" style="13" customWidth="1"/>
    <col min="476" max="476" width="20.7109375" style="13" customWidth="1"/>
    <col min="477" max="478" width="19.5703125" style="13" customWidth="1"/>
    <col min="479" max="479" width="24.5703125" style="13" customWidth="1"/>
    <col min="480" max="480" width="19" style="13" customWidth="1"/>
    <col min="481" max="481" width="17.7109375" style="13" customWidth="1"/>
    <col min="482" max="482" width="19.28515625" style="13" customWidth="1"/>
    <col min="483" max="483" width="17.7109375" style="13" customWidth="1"/>
    <col min="484" max="485" width="16.7109375" style="13" customWidth="1"/>
    <col min="486" max="487" width="19" style="13" customWidth="1"/>
    <col min="488" max="488" width="18.5703125" style="13" customWidth="1"/>
    <col min="489" max="489" width="19" style="13" customWidth="1"/>
    <col min="490" max="490" width="17.28515625" style="13" customWidth="1"/>
    <col min="491" max="492" width="18" style="13" customWidth="1"/>
    <col min="493" max="495" width="16" style="13" customWidth="1"/>
    <col min="496" max="497" width="15.7109375" style="13" customWidth="1"/>
    <col min="498" max="728" width="9.28515625" style="13"/>
    <col min="729" max="729" width="7.28515625" style="13" customWidth="1"/>
    <col min="730" max="730" width="55.42578125" style="13" customWidth="1"/>
    <col min="731" max="731" width="42.7109375" style="13" customWidth="1"/>
    <col min="732" max="732" width="20.7109375" style="13" customWidth="1"/>
    <col min="733" max="734" width="19.5703125" style="13" customWidth="1"/>
    <col min="735" max="735" width="24.5703125" style="13" customWidth="1"/>
    <col min="736" max="736" width="19" style="13" customWidth="1"/>
    <col min="737" max="737" width="17.7109375" style="13" customWidth="1"/>
    <col min="738" max="738" width="19.28515625" style="13" customWidth="1"/>
    <col min="739" max="739" width="17.7109375" style="13" customWidth="1"/>
    <col min="740" max="741" width="16.7109375" style="13" customWidth="1"/>
    <col min="742" max="743" width="19" style="13" customWidth="1"/>
    <col min="744" max="744" width="18.5703125" style="13" customWidth="1"/>
    <col min="745" max="745" width="19" style="13" customWidth="1"/>
    <col min="746" max="746" width="17.28515625" style="13" customWidth="1"/>
    <col min="747" max="748" width="18" style="13" customWidth="1"/>
    <col min="749" max="751" width="16" style="13" customWidth="1"/>
    <col min="752" max="753" width="15.7109375" style="13" customWidth="1"/>
    <col min="754" max="984" width="9.28515625" style="13"/>
    <col min="985" max="985" width="7.28515625" style="13" customWidth="1"/>
    <col min="986" max="986" width="55.42578125" style="13" customWidth="1"/>
    <col min="987" max="987" width="42.7109375" style="13" customWidth="1"/>
    <col min="988" max="988" width="20.7109375" style="13" customWidth="1"/>
    <col min="989" max="990" width="19.5703125" style="13" customWidth="1"/>
    <col min="991" max="991" width="24.5703125" style="13" customWidth="1"/>
    <col min="992" max="992" width="19" style="13" customWidth="1"/>
    <col min="993" max="993" width="17.7109375" style="13" customWidth="1"/>
    <col min="994" max="994" width="19.28515625" style="13" customWidth="1"/>
    <col min="995" max="995" width="17.7109375" style="13" customWidth="1"/>
    <col min="996" max="997" width="16.7109375" style="13" customWidth="1"/>
    <col min="998" max="999" width="19" style="13" customWidth="1"/>
    <col min="1000" max="1000" width="18.5703125" style="13" customWidth="1"/>
    <col min="1001" max="1001" width="19" style="13" customWidth="1"/>
    <col min="1002" max="1002" width="17.28515625" style="13" customWidth="1"/>
    <col min="1003" max="1004" width="18" style="13" customWidth="1"/>
    <col min="1005" max="1007" width="16" style="13" customWidth="1"/>
    <col min="1008" max="1009" width="15.7109375" style="13" customWidth="1"/>
    <col min="1010" max="1240" width="9.28515625" style="13"/>
    <col min="1241" max="1241" width="7.28515625" style="13" customWidth="1"/>
    <col min="1242" max="1242" width="55.42578125" style="13" customWidth="1"/>
    <col min="1243" max="1243" width="42.7109375" style="13" customWidth="1"/>
    <col min="1244" max="1244" width="20.7109375" style="13" customWidth="1"/>
    <col min="1245" max="1246" width="19.5703125" style="13" customWidth="1"/>
    <col min="1247" max="1247" width="24.5703125" style="13" customWidth="1"/>
    <col min="1248" max="1248" width="19" style="13" customWidth="1"/>
    <col min="1249" max="1249" width="17.7109375" style="13" customWidth="1"/>
    <col min="1250" max="1250" width="19.28515625" style="13" customWidth="1"/>
    <col min="1251" max="1251" width="17.7109375" style="13" customWidth="1"/>
    <col min="1252" max="1253" width="16.7109375" style="13" customWidth="1"/>
    <col min="1254" max="1255" width="19" style="13" customWidth="1"/>
    <col min="1256" max="1256" width="18.5703125" style="13" customWidth="1"/>
    <col min="1257" max="1257" width="19" style="13" customWidth="1"/>
    <col min="1258" max="1258" width="17.28515625" style="13" customWidth="1"/>
    <col min="1259" max="1260" width="18" style="13" customWidth="1"/>
    <col min="1261" max="1263" width="16" style="13" customWidth="1"/>
    <col min="1264" max="1265" width="15.7109375" style="13" customWidth="1"/>
    <col min="1266" max="1496" width="9.28515625" style="13"/>
    <col min="1497" max="1497" width="7.28515625" style="13" customWidth="1"/>
    <col min="1498" max="1498" width="55.42578125" style="13" customWidth="1"/>
    <col min="1499" max="1499" width="42.7109375" style="13" customWidth="1"/>
    <col min="1500" max="1500" width="20.7109375" style="13" customWidth="1"/>
    <col min="1501" max="1502" width="19.5703125" style="13" customWidth="1"/>
    <col min="1503" max="1503" width="24.5703125" style="13" customWidth="1"/>
    <col min="1504" max="1504" width="19" style="13" customWidth="1"/>
    <col min="1505" max="1505" width="17.7109375" style="13" customWidth="1"/>
    <col min="1506" max="1506" width="19.28515625" style="13" customWidth="1"/>
    <col min="1507" max="1507" width="17.7109375" style="13" customWidth="1"/>
    <col min="1508" max="1509" width="16.7109375" style="13" customWidth="1"/>
    <col min="1510" max="1511" width="19" style="13" customWidth="1"/>
    <col min="1512" max="1512" width="18.5703125" style="13" customWidth="1"/>
    <col min="1513" max="1513" width="19" style="13" customWidth="1"/>
    <col min="1514" max="1514" width="17.28515625" style="13" customWidth="1"/>
    <col min="1515" max="1516" width="18" style="13" customWidth="1"/>
    <col min="1517" max="1519" width="16" style="13" customWidth="1"/>
    <col min="1520" max="1521" width="15.7109375" style="13" customWidth="1"/>
    <col min="1522" max="1752" width="9.28515625" style="13"/>
    <col min="1753" max="1753" width="7.28515625" style="13" customWidth="1"/>
    <col min="1754" max="1754" width="55.42578125" style="13" customWidth="1"/>
    <col min="1755" max="1755" width="42.7109375" style="13" customWidth="1"/>
    <col min="1756" max="1756" width="20.7109375" style="13" customWidth="1"/>
    <col min="1757" max="1758" width="19.5703125" style="13" customWidth="1"/>
    <col min="1759" max="1759" width="24.5703125" style="13" customWidth="1"/>
    <col min="1760" max="1760" width="19" style="13" customWidth="1"/>
    <col min="1761" max="1761" width="17.7109375" style="13" customWidth="1"/>
    <col min="1762" max="1762" width="19.28515625" style="13" customWidth="1"/>
    <col min="1763" max="1763" width="17.7109375" style="13" customWidth="1"/>
    <col min="1764" max="1765" width="16.7109375" style="13" customWidth="1"/>
    <col min="1766" max="1767" width="19" style="13" customWidth="1"/>
    <col min="1768" max="1768" width="18.5703125" style="13" customWidth="1"/>
    <col min="1769" max="1769" width="19" style="13" customWidth="1"/>
    <col min="1770" max="1770" width="17.28515625" style="13" customWidth="1"/>
    <col min="1771" max="1772" width="18" style="13" customWidth="1"/>
    <col min="1773" max="1775" width="16" style="13" customWidth="1"/>
    <col min="1776" max="1777" width="15.7109375" style="13" customWidth="1"/>
    <col min="1778" max="2008" width="9.28515625" style="13"/>
    <col min="2009" max="2009" width="7.28515625" style="13" customWidth="1"/>
    <col min="2010" max="2010" width="55.42578125" style="13" customWidth="1"/>
    <col min="2011" max="2011" width="42.7109375" style="13" customWidth="1"/>
    <col min="2012" max="2012" width="20.7109375" style="13" customWidth="1"/>
    <col min="2013" max="2014" width="19.5703125" style="13" customWidth="1"/>
    <col min="2015" max="2015" width="24.5703125" style="13" customWidth="1"/>
    <col min="2016" max="2016" width="19" style="13" customWidth="1"/>
    <col min="2017" max="2017" width="17.7109375" style="13" customWidth="1"/>
    <col min="2018" max="2018" width="19.28515625" style="13" customWidth="1"/>
    <col min="2019" max="2019" width="17.7109375" style="13" customWidth="1"/>
    <col min="2020" max="2021" width="16.7109375" style="13" customWidth="1"/>
    <col min="2022" max="2023" width="19" style="13" customWidth="1"/>
    <col min="2024" max="2024" width="18.5703125" style="13" customWidth="1"/>
    <col min="2025" max="2025" width="19" style="13" customWidth="1"/>
    <col min="2026" max="2026" width="17.28515625" style="13" customWidth="1"/>
    <col min="2027" max="2028" width="18" style="13" customWidth="1"/>
    <col min="2029" max="2031" width="16" style="13" customWidth="1"/>
    <col min="2032" max="2033" width="15.7109375" style="13" customWidth="1"/>
    <col min="2034" max="2264" width="9.28515625" style="13"/>
    <col min="2265" max="2265" width="7.28515625" style="13" customWidth="1"/>
    <col min="2266" max="2266" width="55.42578125" style="13" customWidth="1"/>
    <col min="2267" max="2267" width="42.7109375" style="13" customWidth="1"/>
    <col min="2268" max="2268" width="20.7109375" style="13" customWidth="1"/>
    <col min="2269" max="2270" width="19.5703125" style="13" customWidth="1"/>
    <col min="2271" max="2271" width="24.5703125" style="13" customWidth="1"/>
    <col min="2272" max="2272" width="19" style="13" customWidth="1"/>
    <col min="2273" max="2273" width="17.7109375" style="13" customWidth="1"/>
    <col min="2274" max="2274" width="19.28515625" style="13" customWidth="1"/>
    <col min="2275" max="2275" width="17.7109375" style="13" customWidth="1"/>
    <col min="2276" max="2277" width="16.7109375" style="13" customWidth="1"/>
    <col min="2278" max="2279" width="19" style="13" customWidth="1"/>
    <col min="2280" max="2280" width="18.5703125" style="13" customWidth="1"/>
    <col min="2281" max="2281" width="19" style="13" customWidth="1"/>
    <col min="2282" max="2282" width="17.28515625" style="13" customWidth="1"/>
    <col min="2283" max="2284" width="18" style="13" customWidth="1"/>
    <col min="2285" max="2287" width="16" style="13" customWidth="1"/>
    <col min="2288" max="2289" width="15.7109375" style="13" customWidth="1"/>
    <col min="2290" max="2520" width="9.28515625" style="13"/>
    <col min="2521" max="2521" width="7.28515625" style="13" customWidth="1"/>
    <col min="2522" max="2522" width="55.42578125" style="13" customWidth="1"/>
    <col min="2523" max="2523" width="42.7109375" style="13" customWidth="1"/>
    <col min="2524" max="2524" width="20.7109375" style="13" customWidth="1"/>
    <col min="2525" max="2526" width="19.5703125" style="13" customWidth="1"/>
    <col min="2527" max="2527" width="24.5703125" style="13" customWidth="1"/>
    <col min="2528" max="2528" width="19" style="13" customWidth="1"/>
    <col min="2529" max="2529" width="17.7109375" style="13" customWidth="1"/>
    <col min="2530" max="2530" width="19.28515625" style="13" customWidth="1"/>
    <col min="2531" max="2531" width="17.7109375" style="13" customWidth="1"/>
    <col min="2532" max="2533" width="16.7109375" style="13" customWidth="1"/>
    <col min="2534" max="2535" width="19" style="13" customWidth="1"/>
    <col min="2536" max="2536" width="18.5703125" style="13" customWidth="1"/>
    <col min="2537" max="2537" width="19" style="13" customWidth="1"/>
    <col min="2538" max="2538" width="17.28515625" style="13" customWidth="1"/>
    <col min="2539" max="2540" width="18" style="13" customWidth="1"/>
    <col min="2541" max="2543" width="16" style="13" customWidth="1"/>
    <col min="2544" max="2545" width="15.7109375" style="13" customWidth="1"/>
    <col min="2546" max="2776" width="9.28515625" style="13"/>
    <col min="2777" max="2777" width="7.28515625" style="13" customWidth="1"/>
    <col min="2778" max="2778" width="55.42578125" style="13" customWidth="1"/>
    <col min="2779" max="2779" width="42.7109375" style="13" customWidth="1"/>
    <col min="2780" max="2780" width="20.7109375" style="13" customWidth="1"/>
    <col min="2781" max="2782" width="19.5703125" style="13" customWidth="1"/>
    <col min="2783" max="2783" width="24.5703125" style="13" customWidth="1"/>
    <col min="2784" max="2784" width="19" style="13" customWidth="1"/>
    <col min="2785" max="2785" width="17.7109375" style="13" customWidth="1"/>
    <col min="2786" max="2786" width="19.28515625" style="13" customWidth="1"/>
    <col min="2787" max="2787" width="17.7109375" style="13" customWidth="1"/>
    <col min="2788" max="2789" width="16.7109375" style="13" customWidth="1"/>
    <col min="2790" max="2791" width="19" style="13" customWidth="1"/>
    <col min="2792" max="2792" width="18.5703125" style="13" customWidth="1"/>
    <col min="2793" max="2793" width="19" style="13" customWidth="1"/>
    <col min="2794" max="2794" width="17.28515625" style="13" customWidth="1"/>
    <col min="2795" max="2796" width="18" style="13" customWidth="1"/>
    <col min="2797" max="2799" width="16" style="13" customWidth="1"/>
    <col min="2800" max="2801" width="15.7109375" style="13" customWidth="1"/>
    <col min="2802" max="3032" width="9.28515625" style="13"/>
    <col min="3033" max="3033" width="7.28515625" style="13" customWidth="1"/>
    <col min="3034" max="3034" width="55.42578125" style="13" customWidth="1"/>
    <col min="3035" max="3035" width="42.7109375" style="13" customWidth="1"/>
    <col min="3036" max="3036" width="20.7109375" style="13" customWidth="1"/>
    <col min="3037" max="3038" width="19.5703125" style="13" customWidth="1"/>
    <col min="3039" max="3039" width="24.5703125" style="13" customWidth="1"/>
    <col min="3040" max="3040" width="19" style="13" customWidth="1"/>
    <col min="3041" max="3041" width="17.7109375" style="13" customWidth="1"/>
    <col min="3042" max="3042" width="19.28515625" style="13" customWidth="1"/>
    <col min="3043" max="3043" width="17.7109375" style="13" customWidth="1"/>
    <col min="3044" max="3045" width="16.7109375" style="13" customWidth="1"/>
    <col min="3046" max="3047" width="19" style="13" customWidth="1"/>
    <col min="3048" max="3048" width="18.5703125" style="13" customWidth="1"/>
    <col min="3049" max="3049" width="19" style="13" customWidth="1"/>
    <col min="3050" max="3050" width="17.28515625" style="13" customWidth="1"/>
    <col min="3051" max="3052" width="18" style="13" customWidth="1"/>
    <col min="3053" max="3055" width="16" style="13" customWidth="1"/>
    <col min="3056" max="3057" width="15.7109375" style="13" customWidth="1"/>
    <col min="3058" max="3288" width="9.28515625" style="13"/>
    <col min="3289" max="3289" width="7.28515625" style="13" customWidth="1"/>
    <col min="3290" max="3290" width="55.42578125" style="13" customWidth="1"/>
    <col min="3291" max="3291" width="42.7109375" style="13" customWidth="1"/>
    <col min="3292" max="3292" width="20.7109375" style="13" customWidth="1"/>
    <col min="3293" max="3294" width="19.5703125" style="13" customWidth="1"/>
    <col min="3295" max="3295" width="24.5703125" style="13" customWidth="1"/>
    <col min="3296" max="3296" width="19" style="13" customWidth="1"/>
    <col min="3297" max="3297" width="17.7109375" style="13" customWidth="1"/>
    <col min="3298" max="3298" width="19.28515625" style="13" customWidth="1"/>
    <col min="3299" max="3299" width="17.7109375" style="13" customWidth="1"/>
    <col min="3300" max="3301" width="16.7109375" style="13" customWidth="1"/>
    <col min="3302" max="3303" width="19" style="13" customWidth="1"/>
    <col min="3304" max="3304" width="18.5703125" style="13" customWidth="1"/>
    <col min="3305" max="3305" width="19" style="13" customWidth="1"/>
    <col min="3306" max="3306" width="17.28515625" style="13" customWidth="1"/>
    <col min="3307" max="3308" width="18" style="13" customWidth="1"/>
    <col min="3309" max="3311" width="16" style="13" customWidth="1"/>
    <col min="3312" max="3313" width="15.7109375" style="13" customWidth="1"/>
    <col min="3314" max="3544" width="9.28515625" style="13"/>
    <col min="3545" max="3545" width="7.28515625" style="13" customWidth="1"/>
    <col min="3546" max="3546" width="55.42578125" style="13" customWidth="1"/>
    <col min="3547" max="3547" width="42.7109375" style="13" customWidth="1"/>
    <col min="3548" max="3548" width="20.7109375" style="13" customWidth="1"/>
    <col min="3549" max="3550" width="19.5703125" style="13" customWidth="1"/>
    <col min="3551" max="3551" width="24.5703125" style="13" customWidth="1"/>
    <col min="3552" max="3552" width="19" style="13" customWidth="1"/>
    <col min="3553" max="3553" width="17.7109375" style="13" customWidth="1"/>
    <col min="3554" max="3554" width="19.28515625" style="13" customWidth="1"/>
    <col min="3555" max="3555" width="17.7109375" style="13" customWidth="1"/>
    <col min="3556" max="3557" width="16.7109375" style="13" customWidth="1"/>
    <col min="3558" max="3559" width="19" style="13" customWidth="1"/>
    <col min="3560" max="3560" width="18.5703125" style="13" customWidth="1"/>
    <col min="3561" max="3561" width="19" style="13" customWidth="1"/>
    <col min="3562" max="3562" width="17.28515625" style="13" customWidth="1"/>
    <col min="3563" max="3564" width="18" style="13" customWidth="1"/>
    <col min="3565" max="3567" width="16" style="13" customWidth="1"/>
    <col min="3568" max="3569" width="15.7109375" style="13" customWidth="1"/>
    <col min="3570" max="3800" width="9.28515625" style="13"/>
    <col min="3801" max="3801" width="7.28515625" style="13" customWidth="1"/>
    <col min="3802" max="3802" width="55.42578125" style="13" customWidth="1"/>
    <col min="3803" max="3803" width="42.7109375" style="13" customWidth="1"/>
    <col min="3804" max="3804" width="20.7109375" style="13" customWidth="1"/>
    <col min="3805" max="3806" width="19.5703125" style="13" customWidth="1"/>
    <col min="3807" max="3807" width="24.5703125" style="13" customWidth="1"/>
    <col min="3808" max="3808" width="19" style="13" customWidth="1"/>
    <col min="3809" max="3809" width="17.7109375" style="13" customWidth="1"/>
    <col min="3810" max="3810" width="19.28515625" style="13" customWidth="1"/>
    <col min="3811" max="3811" width="17.7109375" style="13" customWidth="1"/>
    <col min="3812" max="3813" width="16.7109375" style="13" customWidth="1"/>
    <col min="3814" max="3815" width="19" style="13" customWidth="1"/>
    <col min="3816" max="3816" width="18.5703125" style="13" customWidth="1"/>
    <col min="3817" max="3817" width="19" style="13" customWidth="1"/>
    <col min="3818" max="3818" width="17.28515625" style="13" customWidth="1"/>
    <col min="3819" max="3820" width="18" style="13" customWidth="1"/>
    <col min="3821" max="3823" width="16" style="13" customWidth="1"/>
    <col min="3824" max="3825" width="15.7109375" style="13" customWidth="1"/>
    <col min="3826" max="4056" width="9.28515625" style="13"/>
    <col min="4057" max="4057" width="7.28515625" style="13" customWidth="1"/>
    <col min="4058" max="4058" width="55.42578125" style="13" customWidth="1"/>
    <col min="4059" max="4059" width="42.7109375" style="13" customWidth="1"/>
    <col min="4060" max="4060" width="20.7109375" style="13" customWidth="1"/>
    <col min="4061" max="4062" width="19.5703125" style="13" customWidth="1"/>
    <col min="4063" max="4063" width="24.5703125" style="13" customWidth="1"/>
    <col min="4064" max="4064" width="19" style="13" customWidth="1"/>
    <col min="4065" max="4065" width="17.7109375" style="13" customWidth="1"/>
    <col min="4066" max="4066" width="19.28515625" style="13" customWidth="1"/>
    <col min="4067" max="4067" width="17.7109375" style="13" customWidth="1"/>
    <col min="4068" max="4069" width="16.7109375" style="13" customWidth="1"/>
    <col min="4070" max="4071" width="19" style="13" customWidth="1"/>
    <col min="4072" max="4072" width="18.5703125" style="13" customWidth="1"/>
    <col min="4073" max="4073" width="19" style="13" customWidth="1"/>
    <col min="4074" max="4074" width="17.28515625" style="13" customWidth="1"/>
    <col min="4075" max="4076" width="18" style="13" customWidth="1"/>
    <col min="4077" max="4079" width="16" style="13" customWidth="1"/>
    <col min="4080" max="4081" width="15.7109375" style="13" customWidth="1"/>
    <col min="4082" max="4312" width="9.28515625" style="13"/>
    <col min="4313" max="4313" width="7.28515625" style="13" customWidth="1"/>
    <col min="4314" max="4314" width="55.42578125" style="13" customWidth="1"/>
    <col min="4315" max="4315" width="42.7109375" style="13" customWidth="1"/>
    <col min="4316" max="4316" width="20.7109375" style="13" customWidth="1"/>
    <col min="4317" max="4318" width="19.5703125" style="13" customWidth="1"/>
    <col min="4319" max="4319" width="24.5703125" style="13" customWidth="1"/>
    <col min="4320" max="4320" width="19" style="13" customWidth="1"/>
    <col min="4321" max="4321" width="17.7109375" style="13" customWidth="1"/>
    <col min="4322" max="4322" width="19.28515625" style="13" customWidth="1"/>
    <col min="4323" max="4323" width="17.7109375" style="13" customWidth="1"/>
    <col min="4324" max="4325" width="16.7109375" style="13" customWidth="1"/>
    <col min="4326" max="4327" width="19" style="13" customWidth="1"/>
    <col min="4328" max="4328" width="18.5703125" style="13" customWidth="1"/>
    <col min="4329" max="4329" width="19" style="13" customWidth="1"/>
    <col min="4330" max="4330" width="17.28515625" style="13" customWidth="1"/>
    <col min="4331" max="4332" width="18" style="13" customWidth="1"/>
    <col min="4333" max="4335" width="16" style="13" customWidth="1"/>
    <col min="4336" max="4337" width="15.7109375" style="13" customWidth="1"/>
    <col min="4338" max="4568" width="9.28515625" style="13"/>
    <col min="4569" max="4569" width="7.28515625" style="13" customWidth="1"/>
    <col min="4570" max="4570" width="55.42578125" style="13" customWidth="1"/>
    <col min="4571" max="4571" width="42.7109375" style="13" customWidth="1"/>
    <col min="4572" max="4572" width="20.7109375" style="13" customWidth="1"/>
    <col min="4573" max="4574" width="19.5703125" style="13" customWidth="1"/>
    <col min="4575" max="4575" width="24.5703125" style="13" customWidth="1"/>
    <col min="4576" max="4576" width="19" style="13" customWidth="1"/>
    <col min="4577" max="4577" width="17.7109375" style="13" customWidth="1"/>
    <col min="4578" max="4578" width="19.28515625" style="13" customWidth="1"/>
    <col min="4579" max="4579" width="17.7109375" style="13" customWidth="1"/>
    <col min="4580" max="4581" width="16.7109375" style="13" customWidth="1"/>
    <col min="4582" max="4583" width="19" style="13" customWidth="1"/>
    <col min="4584" max="4584" width="18.5703125" style="13" customWidth="1"/>
    <col min="4585" max="4585" width="19" style="13" customWidth="1"/>
    <col min="4586" max="4586" width="17.28515625" style="13" customWidth="1"/>
    <col min="4587" max="4588" width="18" style="13" customWidth="1"/>
    <col min="4589" max="4591" width="16" style="13" customWidth="1"/>
    <col min="4592" max="4593" width="15.7109375" style="13" customWidth="1"/>
    <col min="4594" max="4824" width="9.28515625" style="13"/>
    <col min="4825" max="4825" width="7.28515625" style="13" customWidth="1"/>
    <col min="4826" max="4826" width="55.42578125" style="13" customWidth="1"/>
    <col min="4827" max="4827" width="42.7109375" style="13" customWidth="1"/>
    <col min="4828" max="4828" width="20.7109375" style="13" customWidth="1"/>
    <col min="4829" max="4830" width="19.5703125" style="13" customWidth="1"/>
    <col min="4831" max="4831" width="24.5703125" style="13" customWidth="1"/>
    <col min="4832" max="4832" width="19" style="13" customWidth="1"/>
    <col min="4833" max="4833" width="17.7109375" style="13" customWidth="1"/>
    <col min="4834" max="4834" width="19.28515625" style="13" customWidth="1"/>
    <col min="4835" max="4835" width="17.7109375" style="13" customWidth="1"/>
    <col min="4836" max="4837" width="16.7109375" style="13" customWidth="1"/>
    <col min="4838" max="4839" width="19" style="13" customWidth="1"/>
    <col min="4840" max="4840" width="18.5703125" style="13" customWidth="1"/>
    <col min="4841" max="4841" width="19" style="13" customWidth="1"/>
    <col min="4842" max="4842" width="17.28515625" style="13" customWidth="1"/>
    <col min="4843" max="4844" width="18" style="13" customWidth="1"/>
    <col min="4845" max="4847" width="16" style="13" customWidth="1"/>
    <col min="4848" max="4849" width="15.7109375" style="13" customWidth="1"/>
    <col min="4850" max="5080" width="9.28515625" style="13"/>
    <col min="5081" max="5081" width="7.28515625" style="13" customWidth="1"/>
    <col min="5082" max="5082" width="55.42578125" style="13" customWidth="1"/>
    <col min="5083" max="5083" width="42.7109375" style="13" customWidth="1"/>
    <col min="5084" max="5084" width="20.7109375" style="13" customWidth="1"/>
    <col min="5085" max="5086" width="19.5703125" style="13" customWidth="1"/>
    <col min="5087" max="5087" width="24.5703125" style="13" customWidth="1"/>
    <col min="5088" max="5088" width="19" style="13" customWidth="1"/>
    <col min="5089" max="5089" width="17.7109375" style="13" customWidth="1"/>
    <col min="5090" max="5090" width="19.28515625" style="13" customWidth="1"/>
    <col min="5091" max="5091" width="17.7109375" style="13" customWidth="1"/>
    <col min="5092" max="5093" width="16.7109375" style="13" customWidth="1"/>
    <col min="5094" max="5095" width="19" style="13" customWidth="1"/>
    <col min="5096" max="5096" width="18.5703125" style="13" customWidth="1"/>
    <col min="5097" max="5097" width="19" style="13" customWidth="1"/>
    <col min="5098" max="5098" width="17.28515625" style="13" customWidth="1"/>
    <col min="5099" max="5100" width="18" style="13" customWidth="1"/>
    <col min="5101" max="5103" width="16" style="13" customWidth="1"/>
    <col min="5104" max="5105" width="15.7109375" style="13" customWidth="1"/>
    <col min="5106" max="5336" width="9.28515625" style="13"/>
    <col min="5337" max="5337" width="7.28515625" style="13" customWidth="1"/>
    <col min="5338" max="5338" width="55.42578125" style="13" customWidth="1"/>
    <col min="5339" max="5339" width="42.7109375" style="13" customWidth="1"/>
    <col min="5340" max="5340" width="20.7109375" style="13" customWidth="1"/>
    <col min="5341" max="5342" width="19.5703125" style="13" customWidth="1"/>
    <col min="5343" max="5343" width="24.5703125" style="13" customWidth="1"/>
    <col min="5344" max="5344" width="19" style="13" customWidth="1"/>
    <col min="5345" max="5345" width="17.7109375" style="13" customWidth="1"/>
    <col min="5346" max="5346" width="19.28515625" style="13" customWidth="1"/>
    <col min="5347" max="5347" width="17.7109375" style="13" customWidth="1"/>
    <col min="5348" max="5349" width="16.7109375" style="13" customWidth="1"/>
    <col min="5350" max="5351" width="19" style="13" customWidth="1"/>
    <col min="5352" max="5352" width="18.5703125" style="13" customWidth="1"/>
    <col min="5353" max="5353" width="19" style="13" customWidth="1"/>
    <col min="5354" max="5354" width="17.28515625" style="13" customWidth="1"/>
    <col min="5355" max="5356" width="18" style="13" customWidth="1"/>
    <col min="5357" max="5359" width="16" style="13" customWidth="1"/>
    <col min="5360" max="5361" width="15.7109375" style="13" customWidth="1"/>
    <col min="5362" max="5592" width="9.28515625" style="13"/>
    <col min="5593" max="5593" width="7.28515625" style="13" customWidth="1"/>
    <col min="5594" max="5594" width="55.42578125" style="13" customWidth="1"/>
    <col min="5595" max="5595" width="42.7109375" style="13" customWidth="1"/>
    <col min="5596" max="5596" width="20.7109375" style="13" customWidth="1"/>
    <col min="5597" max="5598" width="19.5703125" style="13" customWidth="1"/>
    <col min="5599" max="5599" width="24.5703125" style="13" customWidth="1"/>
    <col min="5600" max="5600" width="19" style="13" customWidth="1"/>
    <col min="5601" max="5601" width="17.7109375" style="13" customWidth="1"/>
    <col min="5602" max="5602" width="19.28515625" style="13" customWidth="1"/>
    <col min="5603" max="5603" width="17.7109375" style="13" customWidth="1"/>
    <col min="5604" max="5605" width="16.7109375" style="13" customWidth="1"/>
    <col min="5606" max="5607" width="19" style="13" customWidth="1"/>
    <col min="5608" max="5608" width="18.5703125" style="13" customWidth="1"/>
    <col min="5609" max="5609" width="19" style="13" customWidth="1"/>
    <col min="5610" max="5610" width="17.28515625" style="13" customWidth="1"/>
    <col min="5611" max="5612" width="18" style="13" customWidth="1"/>
    <col min="5613" max="5615" width="16" style="13" customWidth="1"/>
    <col min="5616" max="5617" width="15.7109375" style="13" customWidth="1"/>
    <col min="5618" max="5848" width="9.28515625" style="13"/>
    <col min="5849" max="5849" width="7.28515625" style="13" customWidth="1"/>
    <col min="5850" max="5850" width="55.42578125" style="13" customWidth="1"/>
    <col min="5851" max="5851" width="42.7109375" style="13" customWidth="1"/>
    <col min="5852" max="5852" width="20.7109375" style="13" customWidth="1"/>
    <col min="5853" max="5854" width="19.5703125" style="13" customWidth="1"/>
    <col min="5855" max="5855" width="24.5703125" style="13" customWidth="1"/>
    <col min="5856" max="5856" width="19" style="13" customWidth="1"/>
    <col min="5857" max="5857" width="17.7109375" style="13" customWidth="1"/>
    <col min="5858" max="5858" width="19.28515625" style="13" customWidth="1"/>
    <col min="5859" max="5859" width="17.7109375" style="13" customWidth="1"/>
    <col min="5860" max="5861" width="16.7109375" style="13" customWidth="1"/>
    <col min="5862" max="5863" width="19" style="13" customWidth="1"/>
    <col min="5864" max="5864" width="18.5703125" style="13" customWidth="1"/>
    <col min="5865" max="5865" width="19" style="13" customWidth="1"/>
    <col min="5866" max="5866" width="17.28515625" style="13" customWidth="1"/>
    <col min="5867" max="5868" width="18" style="13" customWidth="1"/>
    <col min="5869" max="5871" width="16" style="13" customWidth="1"/>
    <col min="5872" max="5873" width="15.7109375" style="13" customWidth="1"/>
    <col min="5874" max="6104" width="9.28515625" style="13"/>
    <col min="6105" max="6105" width="7.28515625" style="13" customWidth="1"/>
    <col min="6106" max="6106" width="55.42578125" style="13" customWidth="1"/>
    <col min="6107" max="6107" width="42.7109375" style="13" customWidth="1"/>
    <col min="6108" max="6108" width="20.7109375" style="13" customWidth="1"/>
    <col min="6109" max="6110" width="19.5703125" style="13" customWidth="1"/>
    <col min="6111" max="6111" width="24.5703125" style="13" customWidth="1"/>
    <col min="6112" max="6112" width="19" style="13" customWidth="1"/>
    <col min="6113" max="6113" width="17.7109375" style="13" customWidth="1"/>
    <col min="6114" max="6114" width="19.28515625" style="13" customWidth="1"/>
    <col min="6115" max="6115" width="17.7109375" style="13" customWidth="1"/>
    <col min="6116" max="6117" width="16.7109375" style="13" customWidth="1"/>
    <col min="6118" max="6119" width="19" style="13" customWidth="1"/>
    <col min="6120" max="6120" width="18.5703125" style="13" customWidth="1"/>
    <col min="6121" max="6121" width="19" style="13" customWidth="1"/>
    <col min="6122" max="6122" width="17.28515625" style="13" customWidth="1"/>
    <col min="6123" max="6124" width="18" style="13" customWidth="1"/>
    <col min="6125" max="6127" width="16" style="13" customWidth="1"/>
    <col min="6128" max="6129" width="15.7109375" style="13" customWidth="1"/>
    <col min="6130" max="6360" width="9.28515625" style="13"/>
    <col min="6361" max="6361" width="7.28515625" style="13" customWidth="1"/>
    <col min="6362" max="6362" width="55.42578125" style="13" customWidth="1"/>
    <col min="6363" max="6363" width="42.7109375" style="13" customWidth="1"/>
    <col min="6364" max="6364" width="20.7109375" style="13" customWidth="1"/>
    <col min="6365" max="6366" width="19.5703125" style="13" customWidth="1"/>
    <col min="6367" max="6367" width="24.5703125" style="13" customWidth="1"/>
    <col min="6368" max="6368" width="19" style="13" customWidth="1"/>
    <col min="6369" max="6369" width="17.7109375" style="13" customWidth="1"/>
    <col min="6370" max="6370" width="19.28515625" style="13" customWidth="1"/>
    <col min="6371" max="6371" width="17.7109375" style="13" customWidth="1"/>
    <col min="6372" max="6373" width="16.7109375" style="13" customWidth="1"/>
    <col min="6374" max="6375" width="19" style="13" customWidth="1"/>
    <col min="6376" max="6376" width="18.5703125" style="13" customWidth="1"/>
    <col min="6377" max="6377" width="19" style="13" customWidth="1"/>
    <col min="6378" max="6378" width="17.28515625" style="13" customWidth="1"/>
    <col min="6379" max="6380" width="18" style="13" customWidth="1"/>
    <col min="6381" max="6383" width="16" style="13" customWidth="1"/>
    <col min="6384" max="6385" width="15.7109375" style="13" customWidth="1"/>
    <col min="6386" max="6616" width="9.28515625" style="13"/>
    <col min="6617" max="6617" width="7.28515625" style="13" customWidth="1"/>
    <col min="6618" max="6618" width="55.42578125" style="13" customWidth="1"/>
    <col min="6619" max="6619" width="42.7109375" style="13" customWidth="1"/>
    <col min="6620" max="6620" width="20.7109375" style="13" customWidth="1"/>
    <col min="6621" max="6622" width="19.5703125" style="13" customWidth="1"/>
    <col min="6623" max="6623" width="24.5703125" style="13" customWidth="1"/>
    <col min="6624" max="6624" width="19" style="13" customWidth="1"/>
    <col min="6625" max="6625" width="17.7109375" style="13" customWidth="1"/>
    <col min="6626" max="6626" width="19.28515625" style="13" customWidth="1"/>
    <col min="6627" max="6627" width="17.7109375" style="13" customWidth="1"/>
    <col min="6628" max="6629" width="16.7109375" style="13" customWidth="1"/>
    <col min="6630" max="6631" width="19" style="13" customWidth="1"/>
    <col min="6632" max="6632" width="18.5703125" style="13" customWidth="1"/>
    <col min="6633" max="6633" width="19" style="13" customWidth="1"/>
    <col min="6634" max="6634" width="17.28515625" style="13" customWidth="1"/>
    <col min="6635" max="6636" width="18" style="13" customWidth="1"/>
    <col min="6637" max="6639" width="16" style="13" customWidth="1"/>
    <col min="6640" max="6641" width="15.7109375" style="13" customWidth="1"/>
    <col min="6642" max="6872" width="9.28515625" style="13"/>
    <col min="6873" max="6873" width="7.28515625" style="13" customWidth="1"/>
    <col min="6874" max="6874" width="55.42578125" style="13" customWidth="1"/>
    <col min="6875" max="6875" width="42.7109375" style="13" customWidth="1"/>
    <col min="6876" max="6876" width="20.7109375" style="13" customWidth="1"/>
    <col min="6877" max="6878" width="19.5703125" style="13" customWidth="1"/>
    <col min="6879" max="6879" width="24.5703125" style="13" customWidth="1"/>
    <col min="6880" max="6880" width="19" style="13" customWidth="1"/>
    <col min="6881" max="6881" width="17.7109375" style="13" customWidth="1"/>
    <col min="6882" max="6882" width="19.28515625" style="13" customWidth="1"/>
    <col min="6883" max="6883" width="17.7109375" style="13" customWidth="1"/>
    <col min="6884" max="6885" width="16.7109375" style="13" customWidth="1"/>
    <col min="6886" max="6887" width="19" style="13" customWidth="1"/>
    <col min="6888" max="6888" width="18.5703125" style="13" customWidth="1"/>
    <col min="6889" max="6889" width="19" style="13" customWidth="1"/>
    <col min="6890" max="6890" width="17.28515625" style="13" customWidth="1"/>
    <col min="6891" max="6892" width="18" style="13" customWidth="1"/>
    <col min="6893" max="6895" width="16" style="13" customWidth="1"/>
    <col min="6896" max="6897" width="15.7109375" style="13" customWidth="1"/>
    <col min="6898" max="7128" width="9.28515625" style="13"/>
    <col min="7129" max="7129" width="7.28515625" style="13" customWidth="1"/>
    <col min="7130" max="7130" width="55.42578125" style="13" customWidth="1"/>
    <col min="7131" max="7131" width="42.7109375" style="13" customWidth="1"/>
    <col min="7132" max="7132" width="20.7109375" style="13" customWidth="1"/>
    <col min="7133" max="7134" width="19.5703125" style="13" customWidth="1"/>
    <col min="7135" max="7135" width="24.5703125" style="13" customWidth="1"/>
    <col min="7136" max="7136" width="19" style="13" customWidth="1"/>
    <col min="7137" max="7137" width="17.7109375" style="13" customWidth="1"/>
    <col min="7138" max="7138" width="19.28515625" style="13" customWidth="1"/>
    <col min="7139" max="7139" width="17.7109375" style="13" customWidth="1"/>
    <col min="7140" max="7141" width="16.7109375" style="13" customWidth="1"/>
    <col min="7142" max="7143" width="19" style="13" customWidth="1"/>
    <col min="7144" max="7144" width="18.5703125" style="13" customWidth="1"/>
    <col min="7145" max="7145" width="19" style="13" customWidth="1"/>
    <col min="7146" max="7146" width="17.28515625" style="13" customWidth="1"/>
    <col min="7147" max="7148" width="18" style="13" customWidth="1"/>
    <col min="7149" max="7151" width="16" style="13" customWidth="1"/>
    <col min="7152" max="7153" width="15.7109375" style="13" customWidth="1"/>
    <col min="7154" max="7384" width="9.28515625" style="13"/>
    <col min="7385" max="7385" width="7.28515625" style="13" customWidth="1"/>
    <col min="7386" max="7386" width="55.42578125" style="13" customWidth="1"/>
    <col min="7387" max="7387" width="42.7109375" style="13" customWidth="1"/>
    <col min="7388" max="7388" width="20.7109375" style="13" customWidth="1"/>
    <col min="7389" max="7390" width="19.5703125" style="13" customWidth="1"/>
    <col min="7391" max="7391" width="24.5703125" style="13" customWidth="1"/>
    <col min="7392" max="7392" width="19" style="13" customWidth="1"/>
    <col min="7393" max="7393" width="17.7109375" style="13" customWidth="1"/>
    <col min="7394" max="7394" width="19.28515625" style="13" customWidth="1"/>
    <col min="7395" max="7395" width="17.7109375" style="13" customWidth="1"/>
    <col min="7396" max="7397" width="16.7109375" style="13" customWidth="1"/>
    <col min="7398" max="7399" width="19" style="13" customWidth="1"/>
    <col min="7400" max="7400" width="18.5703125" style="13" customWidth="1"/>
    <col min="7401" max="7401" width="19" style="13" customWidth="1"/>
    <col min="7402" max="7402" width="17.28515625" style="13" customWidth="1"/>
    <col min="7403" max="7404" width="18" style="13" customWidth="1"/>
    <col min="7405" max="7407" width="16" style="13" customWidth="1"/>
    <col min="7408" max="7409" width="15.7109375" style="13" customWidth="1"/>
    <col min="7410" max="7640" width="9.28515625" style="13"/>
    <col min="7641" max="7641" width="7.28515625" style="13" customWidth="1"/>
    <col min="7642" max="7642" width="55.42578125" style="13" customWidth="1"/>
    <col min="7643" max="7643" width="42.7109375" style="13" customWidth="1"/>
    <col min="7644" max="7644" width="20.7109375" style="13" customWidth="1"/>
    <col min="7645" max="7646" width="19.5703125" style="13" customWidth="1"/>
    <col min="7647" max="7647" width="24.5703125" style="13" customWidth="1"/>
    <col min="7648" max="7648" width="19" style="13" customWidth="1"/>
    <col min="7649" max="7649" width="17.7109375" style="13" customWidth="1"/>
    <col min="7650" max="7650" width="19.28515625" style="13" customWidth="1"/>
    <col min="7651" max="7651" width="17.7109375" style="13" customWidth="1"/>
    <col min="7652" max="7653" width="16.7109375" style="13" customWidth="1"/>
    <col min="7654" max="7655" width="19" style="13" customWidth="1"/>
    <col min="7656" max="7656" width="18.5703125" style="13" customWidth="1"/>
    <col min="7657" max="7657" width="19" style="13" customWidth="1"/>
    <col min="7658" max="7658" width="17.28515625" style="13" customWidth="1"/>
    <col min="7659" max="7660" width="18" style="13" customWidth="1"/>
    <col min="7661" max="7663" width="16" style="13" customWidth="1"/>
    <col min="7664" max="7665" width="15.7109375" style="13" customWidth="1"/>
    <col min="7666" max="7896" width="9.28515625" style="13"/>
    <col min="7897" max="7897" width="7.28515625" style="13" customWidth="1"/>
    <col min="7898" max="7898" width="55.42578125" style="13" customWidth="1"/>
    <col min="7899" max="7899" width="42.7109375" style="13" customWidth="1"/>
    <col min="7900" max="7900" width="20.7109375" style="13" customWidth="1"/>
    <col min="7901" max="7902" width="19.5703125" style="13" customWidth="1"/>
    <col min="7903" max="7903" width="24.5703125" style="13" customWidth="1"/>
    <col min="7904" max="7904" width="19" style="13" customWidth="1"/>
    <col min="7905" max="7905" width="17.7109375" style="13" customWidth="1"/>
    <col min="7906" max="7906" width="19.28515625" style="13" customWidth="1"/>
    <col min="7907" max="7907" width="17.7109375" style="13" customWidth="1"/>
    <col min="7908" max="7909" width="16.7109375" style="13" customWidth="1"/>
    <col min="7910" max="7911" width="19" style="13" customWidth="1"/>
    <col min="7912" max="7912" width="18.5703125" style="13" customWidth="1"/>
    <col min="7913" max="7913" width="19" style="13" customWidth="1"/>
    <col min="7914" max="7914" width="17.28515625" style="13" customWidth="1"/>
    <col min="7915" max="7916" width="18" style="13" customWidth="1"/>
    <col min="7917" max="7919" width="16" style="13" customWidth="1"/>
    <col min="7920" max="7921" width="15.7109375" style="13" customWidth="1"/>
    <col min="7922" max="8152" width="9.28515625" style="13"/>
    <col min="8153" max="8153" width="7.28515625" style="13" customWidth="1"/>
    <col min="8154" max="8154" width="55.42578125" style="13" customWidth="1"/>
    <col min="8155" max="8155" width="42.7109375" style="13" customWidth="1"/>
    <col min="8156" max="8156" width="20.7109375" style="13" customWidth="1"/>
    <col min="8157" max="8158" width="19.5703125" style="13" customWidth="1"/>
    <col min="8159" max="8159" width="24.5703125" style="13" customWidth="1"/>
    <col min="8160" max="8160" width="19" style="13" customWidth="1"/>
    <col min="8161" max="8161" width="17.7109375" style="13" customWidth="1"/>
    <col min="8162" max="8162" width="19.28515625" style="13" customWidth="1"/>
    <col min="8163" max="8163" width="17.7109375" style="13" customWidth="1"/>
    <col min="8164" max="8165" width="16.7109375" style="13" customWidth="1"/>
    <col min="8166" max="8167" width="19" style="13" customWidth="1"/>
    <col min="8168" max="8168" width="18.5703125" style="13" customWidth="1"/>
    <col min="8169" max="8169" width="19" style="13" customWidth="1"/>
    <col min="8170" max="8170" width="17.28515625" style="13" customWidth="1"/>
    <col min="8171" max="8172" width="18" style="13" customWidth="1"/>
    <col min="8173" max="8175" width="16" style="13" customWidth="1"/>
    <col min="8176" max="8177" width="15.7109375" style="13" customWidth="1"/>
    <col min="8178" max="8408" width="9.28515625" style="13"/>
    <col min="8409" max="8409" width="7.28515625" style="13" customWidth="1"/>
    <col min="8410" max="8410" width="55.42578125" style="13" customWidth="1"/>
    <col min="8411" max="8411" width="42.7109375" style="13" customWidth="1"/>
    <col min="8412" max="8412" width="20.7109375" style="13" customWidth="1"/>
    <col min="8413" max="8414" width="19.5703125" style="13" customWidth="1"/>
    <col min="8415" max="8415" width="24.5703125" style="13" customWidth="1"/>
    <col min="8416" max="8416" width="19" style="13" customWidth="1"/>
    <col min="8417" max="8417" width="17.7109375" style="13" customWidth="1"/>
    <col min="8418" max="8418" width="19.28515625" style="13" customWidth="1"/>
    <col min="8419" max="8419" width="17.7109375" style="13" customWidth="1"/>
    <col min="8420" max="8421" width="16.7109375" style="13" customWidth="1"/>
    <col min="8422" max="8423" width="19" style="13" customWidth="1"/>
    <col min="8424" max="8424" width="18.5703125" style="13" customWidth="1"/>
    <col min="8425" max="8425" width="19" style="13" customWidth="1"/>
    <col min="8426" max="8426" width="17.28515625" style="13" customWidth="1"/>
    <col min="8427" max="8428" width="18" style="13" customWidth="1"/>
    <col min="8429" max="8431" width="16" style="13" customWidth="1"/>
    <col min="8432" max="8433" width="15.7109375" style="13" customWidth="1"/>
    <col min="8434" max="8664" width="9.28515625" style="13"/>
    <col min="8665" max="8665" width="7.28515625" style="13" customWidth="1"/>
    <col min="8666" max="8666" width="55.42578125" style="13" customWidth="1"/>
    <col min="8667" max="8667" width="42.7109375" style="13" customWidth="1"/>
    <col min="8668" max="8668" width="20.7109375" style="13" customWidth="1"/>
    <col min="8669" max="8670" width="19.5703125" style="13" customWidth="1"/>
    <col min="8671" max="8671" width="24.5703125" style="13" customWidth="1"/>
    <col min="8672" max="8672" width="19" style="13" customWidth="1"/>
    <col min="8673" max="8673" width="17.7109375" style="13" customWidth="1"/>
    <col min="8674" max="8674" width="19.28515625" style="13" customWidth="1"/>
    <col min="8675" max="8675" width="17.7109375" style="13" customWidth="1"/>
    <col min="8676" max="8677" width="16.7109375" style="13" customWidth="1"/>
    <col min="8678" max="8679" width="19" style="13" customWidth="1"/>
    <col min="8680" max="8680" width="18.5703125" style="13" customWidth="1"/>
    <col min="8681" max="8681" width="19" style="13" customWidth="1"/>
    <col min="8682" max="8682" width="17.28515625" style="13" customWidth="1"/>
    <col min="8683" max="8684" width="18" style="13" customWidth="1"/>
    <col min="8685" max="8687" width="16" style="13" customWidth="1"/>
    <col min="8688" max="8689" width="15.7109375" style="13" customWidth="1"/>
    <col min="8690" max="8920" width="9.28515625" style="13"/>
    <col min="8921" max="8921" width="7.28515625" style="13" customWidth="1"/>
    <col min="8922" max="8922" width="55.42578125" style="13" customWidth="1"/>
    <col min="8923" max="8923" width="42.7109375" style="13" customWidth="1"/>
    <col min="8924" max="8924" width="20.7109375" style="13" customWidth="1"/>
    <col min="8925" max="8926" width="19.5703125" style="13" customWidth="1"/>
    <col min="8927" max="8927" width="24.5703125" style="13" customWidth="1"/>
    <col min="8928" max="8928" width="19" style="13" customWidth="1"/>
    <col min="8929" max="8929" width="17.7109375" style="13" customWidth="1"/>
    <col min="8930" max="8930" width="19.28515625" style="13" customWidth="1"/>
    <col min="8931" max="8931" width="17.7109375" style="13" customWidth="1"/>
    <col min="8932" max="8933" width="16.7109375" style="13" customWidth="1"/>
    <col min="8934" max="8935" width="19" style="13" customWidth="1"/>
    <col min="8936" max="8936" width="18.5703125" style="13" customWidth="1"/>
    <col min="8937" max="8937" width="19" style="13" customWidth="1"/>
    <col min="8938" max="8938" width="17.28515625" style="13" customWidth="1"/>
    <col min="8939" max="8940" width="18" style="13" customWidth="1"/>
    <col min="8941" max="8943" width="16" style="13" customWidth="1"/>
    <col min="8944" max="8945" width="15.7109375" style="13" customWidth="1"/>
    <col min="8946" max="9176" width="9.28515625" style="13"/>
    <col min="9177" max="9177" width="7.28515625" style="13" customWidth="1"/>
    <col min="9178" max="9178" width="55.42578125" style="13" customWidth="1"/>
    <col min="9179" max="9179" width="42.7109375" style="13" customWidth="1"/>
    <col min="9180" max="9180" width="20.7109375" style="13" customWidth="1"/>
    <col min="9181" max="9182" width="19.5703125" style="13" customWidth="1"/>
    <col min="9183" max="9183" width="24.5703125" style="13" customWidth="1"/>
    <col min="9184" max="9184" width="19" style="13" customWidth="1"/>
    <col min="9185" max="9185" width="17.7109375" style="13" customWidth="1"/>
    <col min="9186" max="9186" width="19.28515625" style="13" customWidth="1"/>
    <col min="9187" max="9187" width="17.7109375" style="13" customWidth="1"/>
    <col min="9188" max="9189" width="16.7109375" style="13" customWidth="1"/>
    <col min="9190" max="9191" width="19" style="13" customWidth="1"/>
    <col min="9192" max="9192" width="18.5703125" style="13" customWidth="1"/>
    <col min="9193" max="9193" width="19" style="13" customWidth="1"/>
    <col min="9194" max="9194" width="17.28515625" style="13" customWidth="1"/>
    <col min="9195" max="9196" width="18" style="13" customWidth="1"/>
    <col min="9197" max="9199" width="16" style="13" customWidth="1"/>
    <col min="9200" max="9201" width="15.7109375" style="13" customWidth="1"/>
    <col min="9202" max="9432" width="9.28515625" style="13"/>
    <col min="9433" max="9433" width="7.28515625" style="13" customWidth="1"/>
    <col min="9434" max="9434" width="55.42578125" style="13" customWidth="1"/>
    <col min="9435" max="9435" width="42.7109375" style="13" customWidth="1"/>
    <col min="9436" max="9436" width="20.7109375" style="13" customWidth="1"/>
    <col min="9437" max="9438" width="19.5703125" style="13" customWidth="1"/>
    <col min="9439" max="9439" width="24.5703125" style="13" customWidth="1"/>
    <col min="9440" max="9440" width="19" style="13" customWidth="1"/>
    <col min="9441" max="9441" width="17.7109375" style="13" customWidth="1"/>
    <col min="9442" max="9442" width="19.28515625" style="13" customWidth="1"/>
    <col min="9443" max="9443" width="17.7109375" style="13" customWidth="1"/>
    <col min="9444" max="9445" width="16.7109375" style="13" customWidth="1"/>
    <col min="9446" max="9447" width="19" style="13" customWidth="1"/>
    <col min="9448" max="9448" width="18.5703125" style="13" customWidth="1"/>
    <col min="9449" max="9449" width="19" style="13" customWidth="1"/>
    <col min="9450" max="9450" width="17.28515625" style="13" customWidth="1"/>
    <col min="9451" max="9452" width="18" style="13" customWidth="1"/>
    <col min="9453" max="9455" width="16" style="13" customWidth="1"/>
    <col min="9456" max="9457" width="15.7109375" style="13" customWidth="1"/>
    <col min="9458" max="9688" width="9.28515625" style="13"/>
    <col min="9689" max="9689" width="7.28515625" style="13" customWidth="1"/>
    <col min="9690" max="9690" width="55.42578125" style="13" customWidth="1"/>
    <col min="9691" max="9691" width="42.7109375" style="13" customWidth="1"/>
    <col min="9692" max="9692" width="20.7109375" style="13" customWidth="1"/>
    <col min="9693" max="9694" width="19.5703125" style="13" customWidth="1"/>
    <col min="9695" max="9695" width="24.5703125" style="13" customWidth="1"/>
    <col min="9696" max="9696" width="19" style="13" customWidth="1"/>
    <col min="9697" max="9697" width="17.7109375" style="13" customWidth="1"/>
    <col min="9698" max="9698" width="19.28515625" style="13" customWidth="1"/>
    <col min="9699" max="9699" width="17.7109375" style="13" customWidth="1"/>
    <col min="9700" max="9701" width="16.7109375" style="13" customWidth="1"/>
    <col min="9702" max="9703" width="19" style="13" customWidth="1"/>
    <col min="9704" max="9704" width="18.5703125" style="13" customWidth="1"/>
    <col min="9705" max="9705" width="19" style="13" customWidth="1"/>
    <col min="9706" max="9706" width="17.28515625" style="13" customWidth="1"/>
    <col min="9707" max="9708" width="18" style="13" customWidth="1"/>
    <col min="9709" max="9711" width="16" style="13" customWidth="1"/>
    <col min="9712" max="9713" width="15.7109375" style="13" customWidth="1"/>
    <col min="9714" max="9944" width="9.28515625" style="13"/>
    <col min="9945" max="9945" width="7.28515625" style="13" customWidth="1"/>
    <col min="9946" max="9946" width="55.42578125" style="13" customWidth="1"/>
    <col min="9947" max="9947" width="42.7109375" style="13" customWidth="1"/>
    <col min="9948" max="9948" width="20.7109375" style="13" customWidth="1"/>
    <col min="9949" max="9950" width="19.5703125" style="13" customWidth="1"/>
    <col min="9951" max="9951" width="24.5703125" style="13" customWidth="1"/>
    <col min="9952" max="9952" width="19" style="13" customWidth="1"/>
    <col min="9953" max="9953" width="17.7109375" style="13" customWidth="1"/>
    <col min="9954" max="9954" width="19.28515625" style="13" customWidth="1"/>
    <col min="9955" max="9955" width="17.7109375" style="13" customWidth="1"/>
    <col min="9956" max="9957" width="16.7109375" style="13" customWidth="1"/>
    <col min="9958" max="9959" width="19" style="13" customWidth="1"/>
    <col min="9960" max="9960" width="18.5703125" style="13" customWidth="1"/>
    <col min="9961" max="9961" width="19" style="13" customWidth="1"/>
    <col min="9962" max="9962" width="17.28515625" style="13" customWidth="1"/>
    <col min="9963" max="9964" width="18" style="13" customWidth="1"/>
    <col min="9965" max="9967" width="16" style="13" customWidth="1"/>
    <col min="9968" max="9969" width="15.7109375" style="13" customWidth="1"/>
    <col min="9970" max="10200" width="9.28515625" style="13"/>
    <col min="10201" max="10201" width="7.28515625" style="13" customWidth="1"/>
    <col min="10202" max="10202" width="55.42578125" style="13" customWidth="1"/>
    <col min="10203" max="10203" width="42.7109375" style="13" customWidth="1"/>
    <col min="10204" max="10204" width="20.7109375" style="13" customWidth="1"/>
    <col min="10205" max="10206" width="19.5703125" style="13" customWidth="1"/>
    <col min="10207" max="10207" width="24.5703125" style="13" customWidth="1"/>
    <col min="10208" max="10208" width="19" style="13" customWidth="1"/>
    <col min="10209" max="10209" width="17.7109375" style="13" customWidth="1"/>
    <col min="10210" max="10210" width="19.28515625" style="13" customWidth="1"/>
    <col min="10211" max="10211" width="17.7109375" style="13" customWidth="1"/>
    <col min="10212" max="10213" width="16.7109375" style="13" customWidth="1"/>
    <col min="10214" max="10215" width="19" style="13" customWidth="1"/>
    <col min="10216" max="10216" width="18.5703125" style="13" customWidth="1"/>
    <col min="10217" max="10217" width="19" style="13" customWidth="1"/>
    <col min="10218" max="10218" width="17.28515625" style="13" customWidth="1"/>
    <col min="10219" max="10220" width="18" style="13" customWidth="1"/>
    <col min="10221" max="10223" width="16" style="13" customWidth="1"/>
    <col min="10224" max="10225" width="15.7109375" style="13" customWidth="1"/>
    <col min="10226" max="10456" width="9.28515625" style="13"/>
    <col min="10457" max="10457" width="7.28515625" style="13" customWidth="1"/>
    <col min="10458" max="10458" width="55.42578125" style="13" customWidth="1"/>
    <col min="10459" max="10459" width="42.7109375" style="13" customWidth="1"/>
    <col min="10460" max="10460" width="20.7109375" style="13" customWidth="1"/>
    <col min="10461" max="10462" width="19.5703125" style="13" customWidth="1"/>
    <col min="10463" max="10463" width="24.5703125" style="13" customWidth="1"/>
    <col min="10464" max="10464" width="19" style="13" customWidth="1"/>
    <col min="10465" max="10465" width="17.7109375" style="13" customWidth="1"/>
    <col min="10466" max="10466" width="19.28515625" style="13" customWidth="1"/>
    <col min="10467" max="10467" width="17.7109375" style="13" customWidth="1"/>
    <col min="10468" max="10469" width="16.7109375" style="13" customWidth="1"/>
    <col min="10470" max="10471" width="19" style="13" customWidth="1"/>
    <col min="10472" max="10472" width="18.5703125" style="13" customWidth="1"/>
    <col min="10473" max="10473" width="19" style="13" customWidth="1"/>
    <col min="10474" max="10474" width="17.28515625" style="13" customWidth="1"/>
    <col min="10475" max="10476" width="18" style="13" customWidth="1"/>
    <col min="10477" max="10479" width="16" style="13" customWidth="1"/>
    <col min="10480" max="10481" width="15.7109375" style="13" customWidth="1"/>
    <col min="10482" max="10712" width="9.28515625" style="13"/>
    <col min="10713" max="10713" width="7.28515625" style="13" customWidth="1"/>
    <col min="10714" max="10714" width="55.42578125" style="13" customWidth="1"/>
    <col min="10715" max="10715" width="42.7109375" style="13" customWidth="1"/>
    <col min="10716" max="10716" width="20.7109375" style="13" customWidth="1"/>
    <col min="10717" max="10718" width="19.5703125" style="13" customWidth="1"/>
    <col min="10719" max="10719" width="24.5703125" style="13" customWidth="1"/>
    <col min="10720" max="10720" width="19" style="13" customWidth="1"/>
    <col min="10721" max="10721" width="17.7109375" style="13" customWidth="1"/>
    <col min="10722" max="10722" width="19.28515625" style="13" customWidth="1"/>
    <col min="10723" max="10723" width="17.7109375" style="13" customWidth="1"/>
    <col min="10724" max="10725" width="16.7109375" style="13" customWidth="1"/>
    <col min="10726" max="10727" width="19" style="13" customWidth="1"/>
    <col min="10728" max="10728" width="18.5703125" style="13" customWidth="1"/>
    <col min="10729" max="10729" width="19" style="13" customWidth="1"/>
    <col min="10730" max="10730" width="17.28515625" style="13" customWidth="1"/>
    <col min="10731" max="10732" width="18" style="13" customWidth="1"/>
    <col min="10733" max="10735" width="16" style="13" customWidth="1"/>
    <col min="10736" max="10737" width="15.7109375" style="13" customWidth="1"/>
    <col min="10738" max="10968" width="9.28515625" style="13"/>
    <col min="10969" max="10969" width="7.28515625" style="13" customWidth="1"/>
    <col min="10970" max="10970" width="55.42578125" style="13" customWidth="1"/>
    <col min="10971" max="10971" width="42.7109375" style="13" customWidth="1"/>
    <col min="10972" max="10972" width="20.7109375" style="13" customWidth="1"/>
    <col min="10973" max="10974" width="19.5703125" style="13" customWidth="1"/>
    <col min="10975" max="10975" width="24.5703125" style="13" customWidth="1"/>
    <col min="10976" max="10976" width="19" style="13" customWidth="1"/>
    <col min="10977" max="10977" width="17.7109375" style="13" customWidth="1"/>
    <col min="10978" max="10978" width="19.28515625" style="13" customWidth="1"/>
    <col min="10979" max="10979" width="17.7109375" style="13" customWidth="1"/>
    <col min="10980" max="10981" width="16.7109375" style="13" customWidth="1"/>
    <col min="10982" max="10983" width="19" style="13" customWidth="1"/>
    <col min="10984" max="10984" width="18.5703125" style="13" customWidth="1"/>
    <col min="10985" max="10985" width="19" style="13" customWidth="1"/>
    <col min="10986" max="10986" width="17.28515625" style="13" customWidth="1"/>
    <col min="10987" max="10988" width="18" style="13" customWidth="1"/>
    <col min="10989" max="10991" width="16" style="13" customWidth="1"/>
    <col min="10992" max="10993" width="15.7109375" style="13" customWidth="1"/>
    <col min="10994" max="11224" width="9.28515625" style="13"/>
    <col min="11225" max="11225" width="7.28515625" style="13" customWidth="1"/>
    <col min="11226" max="11226" width="55.42578125" style="13" customWidth="1"/>
    <col min="11227" max="11227" width="42.7109375" style="13" customWidth="1"/>
    <col min="11228" max="11228" width="20.7109375" style="13" customWidth="1"/>
    <col min="11229" max="11230" width="19.5703125" style="13" customWidth="1"/>
    <col min="11231" max="11231" width="24.5703125" style="13" customWidth="1"/>
    <col min="11232" max="11232" width="19" style="13" customWidth="1"/>
    <col min="11233" max="11233" width="17.7109375" style="13" customWidth="1"/>
    <col min="11234" max="11234" width="19.28515625" style="13" customWidth="1"/>
    <col min="11235" max="11235" width="17.7109375" style="13" customWidth="1"/>
    <col min="11236" max="11237" width="16.7109375" style="13" customWidth="1"/>
    <col min="11238" max="11239" width="19" style="13" customWidth="1"/>
    <col min="11240" max="11240" width="18.5703125" style="13" customWidth="1"/>
    <col min="11241" max="11241" width="19" style="13" customWidth="1"/>
    <col min="11242" max="11242" width="17.28515625" style="13" customWidth="1"/>
    <col min="11243" max="11244" width="18" style="13" customWidth="1"/>
    <col min="11245" max="11247" width="16" style="13" customWidth="1"/>
    <col min="11248" max="11249" width="15.7109375" style="13" customWidth="1"/>
    <col min="11250" max="11480" width="9.28515625" style="13"/>
    <col min="11481" max="11481" width="7.28515625" style="13" customWidth="1"/>
    <col min="11482" max="11482" width="55.42578125" style="13" customWidth="1"/>
    <col min="11483" max="11483" width="42.7109375" style="13" customWidth="1"/>
    <col min="11484" max="11484" width="20.7109375" style="13" customWidth="1"/>
    <col min="11485" max="11486" width="19.5703125" style="13" customWidth="1"/>
    <col min="11487" max="11487" width="24.5703125" style="13" customWidth="1"/>
    <col min="11488" max="11488" width="19" style="13" customWidth="1"/>
    <col min="11489" max="11489" width="17.7109375" style="13" customWidth="1"/>
    <col min="11490" max="11490" width="19.28515625" style="13" customWidth="1"/>
    <col min="11491" max="11491" width="17.7109375" style="13" customWidth="1"/>
    <col min="11492" max="11493" width="16.7109375" style="13" customWidth="1"/>
    <col min="11494" max="11495" width="19" style="13" customWidth="1"/>
    <col min="11496" max="11496" width="18.5703125" style="13" customWidth="1"/>
    <col min="11497" max="11497" width="19" style="13" customWidth="1"/>
    <col min="11498" max="11498" width="17.28515625" style="13" customWidth="1"/>
    <col min="11499" max="11500" width="18" style="13" customWidth="1"/>
    <col min="11501" max="11503" width="16" style="13" customWidth="1"/>
    <col min="11504" max="11505" width="15.7109375" style="13" customWidth="1"/>
    <col min="11506" max="11736" width="9.28515625" style="13"/>
    <col min="11737" max="11737" width="7.28515625" style="13" customWidth="1"/>
    <col min="11738" max="11738" width="55.42578125" style="13" customWidth="1"/>
    <col min="11739" max="11739" width="42.7109375" style="13" customWidth="1"/>
    <col min="11740" max="11740" width="20.7109375" style="13" customWidth="1"/>
    <col min="11741" max="11742" width="19.5703125" style="13" customWidth="1"/>
    <col min="11743" max="11743" width="24.5703125" style="13" customWidth="1"/>
    <col min="11744" max="11744" width="19" style="13" customWidth="1"/>
    <col min="11745" max="11745" width="17.7109375" style="13" customWidth="1"/>
    <col min="11746" max="11746" width="19.28515625" style="13" customWidth="1"/>
    <col min="11747" max="11747" width="17.7109375" style="13" customWidth="1"/>
    <col min="11748" max="11749" width="16.7109375" style="13" customWidth="1"/>
    <col min="11750" max="11751" width="19" style="13" customWidth="1"/>
    <col min="11752" max="11752" width="18.5703125" style="13" customWidth="1"/>
    <col min="11753" max="11753" width="19" style="13" customWidth="1"/>
    <col min="11754" max="11754" width="17.28515625" style="13" customWidth="1"/>
    <col min="11755" max="11756" width="18" style="13" customWidth="1"/>
    <col min="11757" max="11759" width="16" style="13" customWidth="1"/>
    <col min="11760" max="11761" width="15.7109375" style="13" customWidth="1"/>
    <col min="11762" max="11992" width="9.28515625" style="13"/>
    <col min="11993" max="11993" width="7.28515625" style="13" customWidth="1"/>
    <col min="11994" max="11994" width="55.42578125" style="13" customWidth="1"/>
    <col min="11995" max="11995" width="42.7109375" style="13" customWidth="1"/>
    <col min="11996" max="11996" width="20.7109375" style="13" customWidth="1"/>
    <col min="11997" max="11998" width="19.5703125" style="13" customWidth="1"/>
    <col min="11999" max="11999" width="24.5703125" style="13" customWidth="1"/>
    <col min="12000" max="12000" width="19" style="13" customWidth="1"/>
    <col min="12001" max="12001" width="17.7109375" style="13" customWidth="1"/>
    <col min="12002" max="12002" width="19.28515625" style="13" customWidth="1"/>
    <col min="12003" max="12003" width="17.7109375" style="13" customWidth="1"/>
    <col min="12004" max="12005" width="16.7109375" style="13" customWidth="1"/>
    <col min="12006" max="12007" width="19" style="13" customWidth="1"/>
    <col min="12008" max="12008" width="18.5703125" style="13" customWidth="1"/>
    <col min="12009" max="12009" width="19" style="13" customWidth="1"/>
    <col min="12010" max="12010" width="17.28515625" style="13" customWidth="1"/>
    <col min="12011" max="12012" width="18" style="13" customWidth="1"/>
    <col min="12013" max="12015" width="16" style="13" customWidth="1"/>
    <col min="12016" max="12017" width="15.7109375" style="13" customWidth="1"/>
    <col min="12018" max="12248" width="9.28515625" style="13"/>
    <col min="12249" max="12249" width="7.28515625" style="13" customWidth="1"/>
    <col min="12250" max="12250" width="55.42578125" style="13" customWidth="1"/>
    <col min="12251" max="12251" width="42.7109375" style="13" customWidth="1"/>
    <col min="12252" max="12252" width="20.7109375" style="13" customWidth="1"/>
    <col min="12253" max="12254" width="19.5703125" style="13" customWidth="1"/>
    <col min="12255" max="12255" width="24.5703125" style="13" customWidth="1"/>
    <col min="12256" max="12256" width="19" style="13" customWidth="1"/>
    <col min="12257" max="12257" width="17.7109375" style="13" customWidth="1"/>
    <col min="12258" max="12258" width="19.28515625" style="13" customWidth="1"/>
    <col min="12259" max="12259" width="17.7109375" style="13" customWidth="1"/>
    <col min="12260" max="12261" width="16.7109375" style="13" customWidth="1"/>
    <col min="12262" max="12263" width="19" style="13" customWidth="1"/>
    <col min="12264" max="12264" width="18.5703125" style="13" customWidth="1"/>
    <col min="12265" max="12265" width="19" style="13" customWidth="1"/>
    <col min="12266" max="12266" width="17.28515625" style="13" customWidth="1"/>
    <col min="12267" max="12268" width="18" style="13" customWidth="1"/>
    <col min="12269" max="12271" width="16" style="13" customWidth="1"/>
    <col min="12272" max="12273" width="15.7109375" style="13" customWidth="1"/>
    <col min="12274" max="12504" width="9.28515625" style="13"/>
    <col min="12505" max="12505" width="7.28515625" style="13" customWidth="1"/>
    <col min="12506" max="12506" width="55.42578125" style="13" customWidth="1"/>
    <col min="12507" max="12507" width="42.7109375" style="13" customWidth="1"/>
    <col min="12508" max="12508" width="20.7109375" style="13" customWidth="1"/>
    <col min="12509" max="12510" width="19.5703125" style="13" customWidth="1"/>
    <col min="12511" max="12511" width="24.5703125" style="13" customWidth="1"/>
    <col min="12512" max="12512" width="19" style="13" customWidth="1"/>
    <col min="12513" max="12513" width="17.7109375" style="13" customWidth="1"/>
    <col min="12514" max="12514" width="19.28515625" style="13" customWidth="1"/>
    <col min="12515" max="12515" width="17.7109375" style="13" customWidth="1"/>
    <col min="12516" max="12517" width="16.7109375" style="13" customWidth="1"/>
    <col min="12518" max="12519" width="19" style="13" customWidth="1"/>
    <col min="12520" max="12520" width="18.5703125" style="13" customWidth="1"/>
    <col min="12521" max="12521" width="19" style="13" customWidth="1"/>
    <col min="12522" max="12522" width="17.28515625" style="13" customWidth="1"/>
    <col min="12523" max="12524" width="18" style="13" customWidth="1"/>
    <col min="12525" max="12527" width="16" style="13" customWidth="1"/>
    <col min="12528" max="12529" width="15.7109375" style="13" customWidth="1"/>
    <col min="12530" max="12760" width="9.28515625" style="13"/>
    <col min="12761" max="12761" width="7.28515625" style="13" customWidth="1"/>
    <col min="12762" max="12762" width="55.42578125" style="13" customWidth="1"/>
    <col min="12763" max="12763" width="42.7109375" style="13" customWidth="1"/>
    <col min="12764" max="12764" width="20.7109375" style="13" customWidth="1"/>
    <col min="12765" max="12766" width="19.5703125" style="13" customWidth="1"/>
    <col min="12767" max="12767" width="24.5703125" style="13" customWidth="1"/>
    <col min="12768" max="12768" width="19" style="13" customWidth="1"/>
    <col min="12769" max="12769" width="17.7109375" style="13" customWidth="1"/>
    <col min="12770" max="12770" width="19.28515625" style="13" customWidth="1"/>
    <col min="12771" max="12771" width="17.7109375" style="13" customWidth="1"/>
    <col min="12772" max="12773" width="16.7109375" style="13" customWidth="1"/>
    <col min="12774" max="12775" width="19" style="13" customWidth="1"/>
    <col min="12776" max="12776" width="18.5703125" style="13" customWidth="1"/>
    <col min="12777" max="12777" width="19" style="13" customWidth="1"/>
    <col min="12778" max="12778" width="17.28515625" style="13" customWidth="1"/>
    <col min="12779" max="12780" width="18" style="13" customWidth="1"/>
    <col min="12781" max="12783" width="16" style="13" customWidth="1"/>
    <col min="12784" max="12785" width="15.7109375" style="13" customWidth="1"/>
    <col min="12786" max="13016" width="9.28515625" style="13"/>
    <col min="13017" max="13017" width="7.28515625" style="13" customWidth="1"/>
    <col min="13018" max="13018" width="55.42578125" style="13" customWidth="1"/>
    <col min="13019" max="13019" width="42.7109375" style="13" customWidth="1"/>
    <col min="13020" max="13020" width="20.7109375" style="13" customWidth="1"/>
    <col min="13021" max="13022" width="19.5703125" style="13" customWidth="1"/>
    <col min="13023" max="13023" width="24.5703125" style="13" customWidth="1"/>
    <col min="13024" max="13024" width="19" style="13" customWidth="1"/>
    <col min="13025" max="13025" width="17.7109375" style="13" customWidth="1"/>
    <col min="13026" max="13026" width="19.28515625" style="13" customWidth="1"/>
    <col min="13027" max="13027" width="17.7109375" style="13" customWidth="1"/>
    <col min="13028" max="13029" width="16.7109375" style="13" customWidth="1"/>
    <col min="13030" max="13031" width="19" style="13" customWidth="1"/>
    <col min="13032" max="13032" width="18.5703125" style="13" customWidth="1"/>
    <col min="13033" max="13033" width="19" style="13" customWidth="1"/>
    <col min="13034" max="13034" width="17.28515625" style="13" customWidth="1"/>
    <col min="13035" max="13036" width="18" style="13" customWidth="1"/>
    <col min="13037" max="13039" width="16" style="13" customWidth="1"/>
    <col min="13040" max="13041" width="15.7109375" style="13" customWidth="1"/>
    <col min="13042" max="13272" width="9.28515625" style="13"/>
    <col min="13273" max="13273" width="7.28515625" style="13" customWidth="1"/>
    <col min="13274" max="13274" width="55.42578125" style="13" customWidth="1"/>
    <col min="13275" max="13275" width="42.7109375" style="13" customWidth="1"/>
    <col min="13276" max="13276" width="20.7109375" style="13" customWidth="1"/>
    <col min="13277" max="13278" width="19.5703125" style="13" customWidth="1"/>
    <col min="13279" max="13279" width="24.5703125" style="13" customWidth="1"/>
    <col min="13280" max="13280" width="19" style="13" customWidth="1"/>
    <col min="13281" max="13281" width="17.7109375" style="13" customWidth="1"/>
    <col min="13282" max="13282" width="19.28515625" style="13" customWidth="1"/>
    <col min="13283" max="13283" width="17.7109375" style="13" customWidth="1"/>
    <col min="13284" max="13285" width="16.7109375" style="13" customWidth="1"/>
    <col min="13286" max="13287" width="19" style="13" customWidth="1"/>
    <col min="13288" max="13288" width="18.5703125" style="13" customWidth="1"/>
    <col min="13289" max="13289" width="19" style="13" customWidth="1"/>
    <col min="13290" max="13290" width="17.28515625" style="13" customWidth="1"/>
    <col min="13291" max="13292" width="18" style="13" customWidth="1"/>
    <col min="13293" max="13295" width="16" style="13" customWidth="1"/>
    <col min="13296" max="13297" width="15.7109375" style="13" customWidth="1"/>
    <col min="13298" max="13528" width="9.28515625" style="13"/>
    <col min="13529" max="13529" width="7.28515625" style="13" customWidth="1"/>
    <col min="13530" max="13530" width="55.42578125" style="13" customWidth="1"/>
    <col min="13531" max="13531" width="42.7109375" style="13" customWidth="1"/>
    <col min="13532" max="13532" width="20.7109375" style="13" customWidth="1"/>
    <col min="13533" max="13534" width="19.5703125" style="13" customWidth="1"/>
    <col min="13535" max="13535" width="24.5703125" style="13" customWidth="1"/>
    <col min="13536" max="13536" width="19" style="13" customWidth="1"/>
    <col min="13537" max="13537" width="17.7109375" style="13" customWidth="1"/>
    <col min="13538" max="13538" width="19.28515625" style="13" customWidth="1"/>
    <col min="13539" max="13539" width="17.7109375" style="13" customWidth="1"/>
    <col min="13540" max="13541" width="16.7109375" style="13" customWidth="1"/>
    <col min="13542" max="13543" width="19" style="13" customWidth="1"/>
    <col min="13544" max="13544" width="18.5703125" style="13" customWidth="1"/>
    <col min="13545" max="13545" width="19" style="13" customWidth="1"/>
    <col min="13546" max="13546" width="17.28515625" style="13" customWidth="1"/>
    <col min="13547" max="13548" width="18" style="13" customWidth="1"/>
    <col min="13549" max="13551" width="16" style="13" customWidth="1"/>
    <col min="13552" max="13553" width="15.7109375" style="13" customWidth="1"/>
    <col min="13554" max="13784" width="9.28515625" style="13"/>
    <col min="13785" max="13785" width="7.28515625" style="13" customWidth="1"/>
    <col min="13786" max="13786" width="55.42578125" style="13" customWidth="1"/>
    <col min="13787" max="13787" width="42.7109375" style="13" customWidth="1"/>
    <col min="13788" max="13788" width="20.7109375" style="13" customWidth="1"/>
    <col min="13789" max="13790" width="19.5703125" style="13" customWidth="1"/>
    <col min="13791" max="13791" width="24.5703125" style="13" customWidth="1"/>
    <col min="13792" max="13792" width="19" style="13" customWidth="1"/>
    <col min="13793" max="13793" width="17.7109375" style="13" customWidth="1"/>
    <col min="13794" max="13794" width="19.28515625" style="13" customWidth="1"/>
    <col min="13795" max="13795" width="17.7109375" style="13" customWidth="1"/>
    <col min="13796" max="13797" width="16.7109375" style="13" customWidth="1"/>
    <col min="13798" max="13799" width="19" style="13" customWidth="1"/>
    <col min="13800" max="13800" width="18.5703125" style="13" customWidth="1"/>
    <col min="13801" max="13801" width="19" style="13" customWidth="1"/>
    <col min="13802" max="13802" width="17.28515625" style="13" customWidth="1"/>
    <col min="13803" max="13804" width="18" style="13" customWidth="1"/>
    <col min="13805" max="13807" width="16" style="13" customWidth="1"/>
    <col min="13808" max="13809" width="15.7109375" style="13" customWidth="1"/>
    <col min="13810" max="14040" width="9.28515625" style="13"/>
    <col min="14041" max="14041" width="7.28515625" style="13" customWidth="1"/>
    <col min="14042" max="14042" width="55.42578125" style="13" customWidth="1"/>
    <col min="14043" max="14043" width="42.7109375" style="13" customWidth="1"/>
    <col min="14044" max="14044" width="20.7109375" style="13" customWidth="1"/>
    <col min="14045" max="14046" width="19.5703125" style="13" customWidth="1"/>
    <col min="14047" max="14047" width="24.5703125" style="13" customWidth="1"/>
    <col min="14048" max="14048" width="19" style="13" customWidth="1"/>
    <col min="14049" max="14049" width="17.7109375" style="13" customWidth="1"/>
    <col min="14050" max="14050" width="19.28515625" style="13" customWidth="1"/>
    <col min="14051" max="14051" width="17.7109375" style="13" customWidth="1"/>
    <col min="14052" max="14053" width="16.7109375" style="13" customWidth="1"/>
    <col min="14054" max="14055" width="19" style="13" customWidth="1"/>
    <col min="14056" max="14056" width="18.5703125" style="13" customWidth="1"/>
    <col min="14057" max="14057" width="19" style="13" customWidth="1"/>
    <col min="14058" max="14058" width="17.28515625" style="13" customWidth="1"/>
    <col min="14059" max="14060" width="18" style="13" customWidth="1"/>
    <col min="14061" max="14063" width="16" style="13" customWidth="1"/>
    <col min="14064" max="14065" width="15.7109375" style="13" customWidth="1"/>
    <col min="14066" max="14296" width="9.28515625" style="13"/>
    <col min="14297" max="14297" width="7.28515625" style="13" customWidth="1"/>
    <col min="14298" max="14298" width="55.42578125" style="13" customWidth="1"/>
    <col min="14299" max="14299" width="42.7109375" style="13" customWidth="1"/>
    <col min="14300" max="14300" width="20.7109375" style="13" customWidth="1"/>
    <col min="14301" max="14302" width="19.5703125" style="13" customWidth="1"/>
    <col min="14303" max="14303" width="24.5703125" style="13" customWidth="1"/>
    <col min="14304" max="14304" width="19" style="13" customWidth="1"/>
    <col min="14305" max="14305" width="17.7109375" style="13" customWidth="1"/>
    <col min="14306" max="14306" width="19.28515625" style="13" customWidth="1"/>
    <col min="14307" max="14307" width="17.7109375" style="13" customWidth="1"/>
    <col min="14308" max="14309" width="16.7109375" style="13" customWidth="1"/>
    <col min="14310" max="14311" width="19" style="13" customWidth="1"/>
    <col min="14312" max="14312" width="18.5703125" style="13" customWidth="1"/>
    <col min="14313" max="14313" width="19" style="13" customWidth="1"/>
    <col min="14314" max="14314" width="17.28515625" style="13" customWidth="1"/>
    <col min="14315" max="14316" width="18" style="13" customWidth="1"/>
    <col min="14317" max="14319" width="16" style="13" customWidth="1"/>
    <col min="14320" max="14321" width="15.7109375" style="13" customWidth="1"/>
    <col min="14322" max="14552" width="9.28515625" style="13"/>
    <col min="14553" max="14553" width="7.28515625" style="13" customWidth="1"/>
    <col min="14554" max="14554" width="55.42578125" style="13" customWidth="1"/>
    <col min="14555" max="14555" width="42.7109375" style="13" customWidth="1"/>
    <col min="14556" max="14556" width="20.7109375" style="13" customWidth="1"/>
    <col min="14557" max="14558" width="19.5703125" style="13" customWidth="1"/>
    <col min="14559" max="14559" width="24.5703125" style="13" customWidth="1"/>
    <col min="14560" max="14560" width="19" style="13" customWidth="1"/>
    <col min="14561" max="14561" width="17.7109375" style="13" customWidth="1"/>
    <col min="14562" max="14562" width="19.28515625" style="13" customWidth="1"/>
    <col min="14563" max="14563" width="17.7109375" style="13" customWidth="1"/>
    <col min="14564" max="14565" width="16.7109375" style="13" customWidth="1"/>
    <col min="14566" max="14567" width="19" style="13" customWidth="1"/>
    <col min="14568" max="14568" width="18.5703125" style="13" customWidth="1"/>
    <col min="14569" max="14569" width="19" style="13" customWidth="1"/>
    <col min="14570" max="14570" width="17.28515625" style="13" customWidth="1"/>
    <col min="14571" max="14572" width="18" style="13" customWidth="1"/>
    <col min="14573" max="14575" width="16" style="13" customWidth="1"/>
    <col min="14576" max="14577" width="15.7109375" style="13" customWidth="1"/>
    <col min="14578" max="14808" width="9.28515625" style="13"/>
    <col min="14809" max="14809" width="7.28515625" style="13" customWidth="1"/>
    <col min="14810" max="14810" width="55.42578125" style="13" customWidth="1"/>
    <col min="14811" max="14811" width="42.7109375" style="13" customWidth="1"/>
    <col min="14812" max="14812" width="20.7109375" style="13" customWidth="1"/>
    <col min="14813" max="14814" width="19.5703125" style="13" customWidth="1"/>
    <col min="14815" max="14815" width="24.5703125" style="13" customWidth="1"/>
    <col min="14816" max="14816" width="19" style="13" customWidth="1"/>
    <col min="14817" max="14817" width="17.7109375" style="13" customWidth="1"/>
    <col min="14818" max="14818" width="19.28515625" style="13" customWidth="1"/>
    <col min="14819" max="14819" width="17.7109375" style="13" customWidth="1"/>
    <col min="14820" max="14821" width="16.7109375" style="13" customWidth="1"/>
    <col min="14822" max="14823" width="19" style="13" customWidth="1"/>
    <col min="14824" max="14824" width="18.5703125" style="13" customWidth="1"/>
    <col min="14825" max="14825" width="19" style="13" customWidth="1"/>
    <col min="14826" max="14826" width="17.28515625" style="13" customWidth="1"/>
    <col min="14827" max="14828" width="18" style="13" customWidth="1"/>
    <col min="14829" max="14831" width="16" style="13" customWidth="1"/>
    <col min="14832" max="14833" width="15.7109375" style="13" customWidth="1"/>
    <col min="14834" max="15064" width="9.28515625" style="13"/>
    <col min="15065" max="15065" width="7.28515625" style="13" customWidth="1"/>
    <col min="15066" max="15066" width="55.42578125" style="13" customWidth="1"/>
    <col min="15067" max="15067" width="42.7109375" style="13" customWidth="1"/>
    <col min="15068" max="15068" width="20.7109375" style="13" customWidth="1"/>
    <col min="15069" max="15070" width="19.5703125" style="13" customWidth="1"/>
    <col min="15071" max="15071" width="24.5703125" style="13" customWidth="1"/>
    <col min="15072" max="15072" width="19" style="13" customWidth="1"/>
    <col min="15073" max="15073" width="17.7109375" style="13" customWidth="1"/>
    <col min="15074" max="15074" width="19.28515625" style="13" customWidth="1"/>
    <col min="15075" max="15075" width="17.7109375" style="13" customWidth="1"/>
    <col min="15076" max="15077" width="16.7109375" style="13" customWidth="1"/>
    <col min="15078" max="15079" width="19" style="13" customWidth="1"/>
    <col min="15080" max="15080" width="18.5703125" style="13" customWidth="1"/>
    <col min="15081" max="15081" width="19" style="13" customWidth="1"/>
    <col min="15082" max="15082" width="17.28515625" style="13" customWidth="1"/>
    <col min="15083" max="15084" width="18" style="13" customWidth="1"/>
    <col min="15085" max="15087" width="16" style="13" customWidth="1"/>
    <col min="15088" max="15089" width="15.7109375" style="13" customWidth="1"/>
    <col min="15090" max="15320" width="9.28515625" style="13"/>
    <col min="15321" max="15321" width="7.28515625" style="13" customWidth="1"/>
    <col min="15322" max="15322" width="55.42578125" style="13" customWidth="1"/>
    <col min="15323" max="15323" width="42.7109375" style="13" customWidth="1"/>
    <col min="15324" max="15324" width="20.7109375" style="13" customWidth="1"/>
    <col min="15325" max="15326" width="19.5703125" style="13" customWidth="1"/>
    <col min="15327" max="15327" width="24.5703125" style="13" customWidth="1"/>
    <col min="15328" max="15328" width="19" style="13" customWidth="1"/>
    <col min="15329" max="15329" width="17.7109375" style="13" customWidth="1"/>
    <col min="15330" max="15330" width="19.28515625" style="13" customWidth="1"/>
    <col min="15331" max="15331" width="17.7109375" style="13" customWidth="1"/>
    <col min="15332" max="15333" width="16.7109375" style="13" customWidth="1"/>
    <col min="15334" max="15335" width="19" style="13" customWidth="1"/>
    <col min="15336" max="15336" width="18.5703125" style="13" customWidth="1"/>
    <col min="15337" max="15337" width="19" style="13" customWidth="1"/>
    <col min="15338" max="15338" width="17.28515625" style="13" customWidth="1"/>
    <col min="15339" max="15340" width="18" style="13" customWidth="1"/>
    <col min="15341" max="15343" width="16" style="13" customWidth="1"/>
    <col min="15344" max="15345" width="15.7109375" style="13" customWidth="1"/>
    <col min="15346" max="15576" width="9.28515625" style="13"/>
    <col min="15577" max="15577" width="7.28515625" style="13" customWidth="1"/>
    <col min="15578" max="15578" width="55.42578125" style="13" customWidth="1"/>
    <col min="15579" max="15579" width="42.7109375" style="13" customWidth="1"/>
    <col min="15580" max="15580" width="20.7109375" style="13" customWidth="1"/>
    <col min="15581" max="15582" width="19.5703125" style="13" customWidth="1"/>
    <col min="15583" max="15583" width="24.5703125" style="13" customWidth="1"/>
    <col min="15584" max="15584" width="19" style="13" customWidth="1"/>
    <col min="15585" max="15585" width="17.7109375" style="13" customWidth="1"/>
    <col min="15586" max="15586" width="19.28515625" style="13" customWidth="1"/>
    <col min="15587" max="15587" width="17.7109375" style="13" customWidth="1"/>
    <col min="15588" max="15589" width="16.7109375" style="13" customWidth="1"/>
    <col min="15590" max="15591" width="19" style="13" customWidth="1"/>
    <col min="15592" max="15592" width="18.5703125" style="13" customWidth="1"/>
    <col min="15593" max="15593" width="19" style="13" customWidth="1"/>
    <col min="15594" max="15594" width="17.28515625" style="13" customWidth="1"/>
    <col min="15595" max="15596" width="18" style="13" customWidth="1"/>
    <col min="15597" max="15599" width="16" style="13" customWidth="1"/>
    <col min="15600" max="15601" width="15.7109375" style="13" customWidth="1"/>
    <col min="15602" max="15832" width="9.28515625" style="13"/>
    <col min="15833" max="15833" width="7.28515625" style="13" customWidth="1"/>
    <col min="15834" max="15834" width="55.42578125" style="13" customWidth="1"/>
    <col min="15835" max="15835" width="42.7109375" style="13" customWidth="1"/>
    <col min="15836" max="15836" width="20.7109375" style="13" customWidth="1"/>
    <col min="15837" max="15838" width="19.5703125" style="13" customWidth="1"/>
    <col min="15839" max="15839" width="24.5703125" style="13" customWidth="1"/>
    <col min="15840" max="15840" width="19" style="13" customWidth="1"/>
    <col min="15841" max="15841" width="17.7109375" style="13" customWidth="1"/>
    <col min="15842" max="15842" width="19.28515625" style="13" customWidth="1"/>
    <col min="15843" max="15843" width="17.7109375" style="13" customWidth="1"/>
    <col min="15844" max="15845" width="16.7109375" style="13" customWidth="1"/>
    <col min="15846" max="15847" width="19" style="13" customWidth="1"/>
    <col min="15848" max="15848" width="18.5703125" style="13" customWidth="1"/>
    <col min="15849" max="15849" width="19" style="13" customWidth="1"/>
    <col min="15850" max="15850" width="17.28515625" style="13" customWidth="1"/>
    <col min="15851" max="15852" width="18" style="13" customWidth="1"/>
    <col min="15853" max="15855" width="16" style="13" customWidth="1"/>
    <col min="15856" max="15857" width="15.7109375" style="13" customWidth="1"/>
    <col min="15858" max="16088" width="9.28515625" style="13"/>
    <col min="16089" max="16089" width="7.28515625" style="13" customWidth="1"/>
    <col min="16090" max="16090" width="55.42578125" style="13" customWidth="1"/>
    <col min="16091" max="16091" width="42.7109375" style="13" customWidth="1"/>
    <col min="16092" max="16092" width="20.7109375" style="13" customWidth="1"/>
    <col min="16093" max="16094" width="19.5703125" style="13" customWidth="1"/>
    <col min="16095" max="16095" width="24.5703125" style="13" customWidth="1"/>
    <col min="16096" max="16096" width="19" style="13" customWidth="1"/>
    <col min="16097" max="16097" width="17.7109375" style="13" customWidth="1"/>
    <col min="16098" max="16098" width="19.28515625" style="13" customWidth="1"/>
    <col min="16099" max="16099" width="17.7109375" style="13" customWidth="1"/>
    <col min="16100" max="16101" width="16.7109375" style="13" customWidth="1"/>
    <col min="16102" max="16103" width="19" style="13" customWidth="1"/>
    <col min="16104" max="16104" width="18.5703125" style="13" customWidth="1"/>
    <col min="16105" max="16105" width="19" style="13" customWidth="1"/>
    <col min="16106" max="16106" width="17.28515625" style="13" customWidth="1"/>
    <col min="16107" max="16108" width="18" style="13" customWidth="1"/>
    <col min="16109" max="16111" width="16" style="13" customWidth="1"/>
    <col min="16112" max="16113" width="15.7109375" style="13" customWidth="1"/>
    <col min="16114" max="16382" width="9.28515625" style="13"/>
    <col min="16383" max="16384" width="9.28515625" style="13" customWidth="1"/>
  </cols>
  <sheetData>
    <row r="1" spans="1:12" ht="18.75" x14ac:dyDescent="0.25">
      <c r="A1" s="426" t="str">
        <f>'Profit &amp; Loss Statement'!A1:D1</f>
        <v xml:space="preserve">GHANA CO-OPERATIVE SUSU COLLECTORS ASSOCIATION </v>
      </c>
      <c r="B1" s="426"/>
      <c r="C1" s="426"/>
      <c r="D1" s="426"/>
      <c r="E1" s="171">
        <f>SUM(D4:D10) + IF(D16=D22,0,1) +  IF(E16=E22,0,1)</f>
        <v>0</v>
      </c>
      <c r="F1" s="47" t="str">
        <f>IF(SUM(D4:D10)&gt;0,"Error!", IF(D15=0,"Error!", IF(D16=0,"Error!", "")))</f>
        <v/>
      </c>
    </row>
    <row r="2" spans="1:12" ht="18.75" x14ac:dyDescent="0.25">
      <c r="A2" s="426" t="str">
        <f>'Profit &amp; Loss Statement'!A2:D2</f>
        <v>MEMBERS REPORTING TEMPLATE</v>
      </c>
      <c r="B2" s="426"/>
      <c r="C2" s="426"/>
      <c r="D2" s="426"/>
    </row>
    <row r="3" spans="1:12" x14ac:dyDescent="0.25">
      <c r="A3" s="15"/>
      <c r="C3" s="49"/>
      <c r="D3" s="11"/>
    </row>
    <row r="4" spans="1:12" x14ac:dyDescent="0.25">
      <c r="A4" s="11"/>
      <c r="B4" s="17" t="s">
        <v>9</v>
      </c>
      <c r="C4" s="50" t="str">
        <f>IF('Profit &amp; Loss Statement'!C4 = "", "", 'Profit &amp; Loss Statement'!C4)</f>
        <v>QUICK RETURNS SUSU ENTERPRISE</v>
      </c>
      <c r="D4" s="18">
        <f>IF(C4="",1,IF(ISTEXT(C4),0,1))+IF(OR(ISNUMBER(LEFT(C4)),LEFT(C4)=" "),1,0)</f>
        <v>0</v>
      </c>
    </row>
    <row r="5" spans="1:12" x14ac:dyDescent="0.25">
      <c r="A5" s="11"/>
      <c r="B5" s="17" t="s">
        <v>10</v>
      </c>
      <c r="C5" s="50" t="str">
        <f>IF('Profit &amp; Loss Statement'!C5 = "", "", 'Profit &amp; Loss Statement'!C5)</f>
        <v xml:space="preserve">
GCSCA-GT-0-0000288</v>
      </c>
      <c r="D5" s="18">
        <f>IF(C5="",1,IF(ISTEXT(C5),0,1))+IF(OR(ISNUMBER(LEFT(C5)),LEFT(C5)=" "),1,0)</f>
        <v>0</v>
      </c>
    </row>
    <row r="6" spans="1:12" x14ac:dyDescent="0.25">
      <c r="A6" s="51"/>
      <c r="B6" s="17" t="s">
        <v>11</v>
      </c>
      <c r="C6" s="134" t="str">
        <f>IF('Profit &amp; Loss Statement'!C6 = "", "", 'Profit &amp; Loss Statement'!C6)</f>
        <v xml:space="preserve">GCSCA-PR-UA </v>
      </c>
      <c r="D6" s="18">
        <f>IF(C6="",1,IF(ISTEXT(C6),0,1))</f>
        <v>0</v>
      </c>
    </row>
    <row r="7" spans="1:12" x14ac:dyDescent="0.25">
      <c r="A7" s="11"/>
      <c r="B7" s="17" t="s">
        <v>12</v>
      </c>
      <c r="C7" s="50" t="str">
        <f>IF('Profit &amp; Loss Statement'!C7 = "", "", 'Profit &amp; Loss Statement'!C7)</f>
        <v>JUNE</v>
      </c>
      <c r="D7" s="18">
        <f>IF(C7="",1,IF(ISTEXT(C7),0,1))</f>
        <v>0</v>
      </c>
    </row>
    <row r="8" spans="1:12" ht="19.5" customHeight="1" x14ac:dyDescent="0.25">
      <c r="A8" s="51"/>
      <c r="B8" s="17" t="s">
        <v>13</v>
      </c>
      <c r="C8" s="52" t="str">
        <f>IF('Profit &amp; Loss Statement'!C8 = "", "", 'Profit &amp; Loss Statement'!C8)</f>
        <v>July 2026</v>
      </c>
      <c r="D8" s="18">
        <f>IF(C8="",1, 0)</f>
        <v>0</v>
      </c>
    </row>
    <row r="9" spans="1:12" x14ac:dyDescent="0.25">
      <c r="A9" s="20"/>
      <c r="B9" s="17" t="s">
        <v>14</v>
      </c>
      <c r="C9" s="135" t="str">
        <f>'Profit &amp; Loss Statement'!C9</f>
        <v>2026</v>
      </c>
      <c r="D9" s="18">
        <f>IF(C9="",1, 0)</f>
        <v>0</v>
      </c>
    </row>
    <row r="10" spans="1:12" x14ac:dyDescent="0.25">
      <c r="B10" s="17" t="s">
        <v>156</v>
      </c>
      <c r="C10" s="135" t="str">
        <f>IF('Profit &amp; Loss Statement'!C10 = "", "", 'Profit &amp; Loss Statement'!C10)</f>
        <v>Greater Accra-GA</v>
      </c>
      <c r="D10" s="18">
        <f>IF(C10="",1, 0)</f>
        <v>0</v>
      </c>
    </row>
    <row r="11" spans="1:12" ht="15" x14ac:dyDescent="0.25">
      <c r="B11" s="68"/>
    </row>
    <row r="12" spans="1:12" x14ac:dyDescent="0.25">
      <c r="B12" s="76" t="s">
        <v>93</v>
      </c>
      <c r="C12" s="77" t="s">
        <v>94</v>
      </c>
      <c r="D12" s="444" t="s">
        <v>95</v>
      </c>
      <c r="E12" s="444"/>
    </row>
    <row r="13" spans="1:12" x14ac:dyDescent="0.25">
      <c r="A13" s="376" t="s">
        <v>96</v>
      </c>
      <c r="B13" s="377" t="s">
        <v>297</v>
      </c>
      <c r="C13" s="378" t="s">
        <v>97</v>
      </c>
      <c r="D13" s="421" t="s">
        <v>424</v>
      </c>
      <c r="E13" s="379" t="s">
        <v>82</v>
      </c>
    </row>
    <row r="14" spans="1:12" ht="38.25" x14ac:dyDescent="0.25">
      <c r="A14" s="3" t="s">
        <v>21</v>
      </c>
      <c r="B14" s="78" t="s">
        <v>417</v>
      </c>
      <c r="C14" s="79" t="s">
        <v>345</v>
      </c>
      <c r="D14" s="69">
        <v>380</v>
      </c>
      <c r="E14" s="61">
        <v>57718</v>
      </c>
    </row>
    <row r="15" spans="1:12" ht="38.25" x14ac:dyDescent="0.2">
      <c r="A15" s="3" t="s">
        <v>22</v>
      </c>
      <c r="B15" s="78" t="s">
        <v>418</v>
      </c>
      <c r="C15" s="390" t="s">
        <v>292</v>
      </c>
      <c r="D15" s="69">
        <v>50</v>
      </c>
      <c r="E15" s="61">
        <v>15000</v>
      </c>
    </row>
    <row r="16" spans="1:12" ht="65.25" x14ac:dyDescent="0.25">
      <c r="A16" s="3" t="s">
        <v>23</v>
      </c>
      <c r="B16" s="78" t="s">
        <v>419</v>
      </c>
      <c r="C16" s="71" t="s">
        <v>346</v>
      </c>
      <c r="D16" s="69">
        <v>380</v>
      </c>
      <c r="E16" s="61">
        <v>31255</v>
      </c>
      <c r="F16" s="142" t="str">
        <f>IF(D16&lt;&gt;D22,"Error!", IF(E16&lt;&gt;E22, "Error!", ""))</f>
        <v/>
      </c>
      <c r="L16" s="144"/>
    </row>
    <row r="17" spans="1:12" ht="27" customHeight="1" x14ac:dyDescent="0.25">
      <c r="A17" s="3" t="s">
        <v>25</v>
      </c>
      <c r="B17" s="78" t="s">
        <v>420</v>
      </c>
      <c r="C17" s="71"/>
      <c r="D17" s="69">
        <v>290</v>
      </c>
      <c r="E17" s="61">
        <v>23852.49</v>
      </c>
      <c r="F17" s="143"/>
      <c r="L17" s="144"/>
    </row>
    <row r="18" spans="1:12" ht="32.25" customHeight="1" x14ac:dyDescent="0.25">
      <c r="A18" s="3" t="s">
        <v>333</v>
      </c>
      <c r="B18" s="78" t="s">
        <v>421</v>
      </c>
      <c r="C18" s="71"/>
      <c r="D18" s="69">
        <v>90</v>
      </c>
      <c r="E18" s="61">
        <v>7402.51</v>
      </c>
      <c r="F18" s="142"/>
      <c r="L18" s="144"/>
    </row>
    <row r="19" spans="1:12" ht="25.5" x14ac:dyDescent="0.25">
      <c r="A19" s="3" t="s">
        <v>340</v>
      </c>
      <c r="B19" s="78" t="s">
        <v>422</v>
      </c>
      <c r="C19" s="27" t="s">
        <v>374</v>
      </c>
      <c r="D19" s="69">
        <v>0</v>
      </c>
      <c r="E19" s="61">
        <v>0</v>
      </c>
    </row>
    <row r="20" spans="1:12" x14ac:dyDescent="0.25">
      <c r="A20" s="9"/>
      <c r="B20" s="80"/>
      <c r="C20" s="81"/>
      <c r="D20" s="82"/>
    </row>
    <row r="21" spans="1:12" x14ac:dyDescent="0.25">
      <c r="A21" s="102" t="s">
        <v>41</v>
      </c>
      <c r="B21" s="98" t="s">
        <v>98</v>
      </c>
      <c r="C21" s="98"/>
      <c r="D21" s="103" t="s">
        <v>424</v>
      </c>
      <c r="E21" s="140" t="s">
        <v>82</v>
      </c>
    </row>
    <row r="22" spans="1:12" ht="63.75" x14ac:dyDescent="0.25">
      <c r="A22" s="3" t="s">
        <v>44</v>
      </c>
      <c r="B22" s="29" t="s">
        <v>99</v>
      </c>
      <c r="C22" s="71" t="s">
        <v>375</v>
      </c>
      <c r="D22" s="362">
        <f>+D17+D18</f>
        <v>380</v>
      </c>
      <c r="E22" s="363">
        <f>+E17+E18</f>
        <v>31255</v>
      </c>
      <c r="F22" s="143" t="str">
        <f>IF(E22=E16," ","Error!")</f>
        <v xml:space="preserve"> </v>
      </c>
    </row>
    <row r="23" spans="1:12" ht="63.75" x14ac:dyDescent="0.25">
      <c r="A23" s="3" t="s">
        <v>334</v>
      </c>
      <c r="B23" s="29" t="s">
        <v>100</v>
      </c>
      <c r="C23" s="71" t="s">
        <v>376</v>
      </c>
      <c r="D23" s="362">
        <f>+D17</f>
        <v>290</v>
      </c>
      <c r="E23" s="363">
        <f>+E17</f>
        <v>23852.49</v>
      </c>
    </row>
    <row r="24" spans="1:12" ht="63.75" x14ac:dyDescent="0.25">
      <c r="A24" s="3" t="s">
        <v>46</v>
      </c>
      <c r="B24" s="83" t="s">
        <v>289</v>
      </c>
      <c r="C24" s="71" t="s">
        <v>377</v>
      </c>
      <c r="D24" s="362">
        <f>+D18</f>
        <v>90</v>
      </c>
      <c r="E24" s="363">
        <f>+E18</f>
        <v>7402.51</v>
      </c>
    </row>
    <row r="25" spans="1:12" ht="31.5" x14ac:dyDescent="0.25">
      <c r="A25" s="3" t="s">
        <v>335</v>
      </c>
      <c r="B25" s="29" t="s">
        <v>290</v>
      </c>
      <c r="C25" s="27"/>
      <c r="D25" s="405"/>
      <c r="E25" s="420"/>
    </row>
    <row r="26" spans="1:12" ht="25.5" x14ac:dyDescent="0.25">
      <c r="A26" s="3" t="s">
        <v>336</v>
      </c>
      <c r="B26" s="83" t="s">
        <v>291</v>
      </c>
      <c r="C26" s="27" t="s">
        <v>379</v>
      </c>
      <c r="D26" s="391"/>
      <c r="E26" s="70">
        <f>IFERROR(ROUND((E14/D14),2), 0)</f>
        <v>151.88999999999999</v>
      </c>
    </row>
    <row r="27" spans="1:12" ht="31.5" x14ac:dyDescent="0.25">
      <c r="A27" s="3" t="s">
        <v>337</v>
      </c>
      <c r="B27" s="83" t="s">
        <v>343</v>
      </c>
      <c r="C27" s="27" t="s">
        <v>378</v>
      </c>
      <c r="D27" s="70"/>
      <c r="E27" s="70">
        <f>IFERROR(ROUND((E16/D16),2), 0)</f>
        <v>82.25</v>
      </c>
    </row>
    <row r="28" spans="1:12" ht="25.5" x14ac:dyDescent="0.25">
      <c r="A28" s="3" t="s">
        <v>47</v>
      </c>
      <c r="B28" s="29" t="s">
        <v>317</v>
      </c>
      <c r="C28" s="27" t="s">
        <v>380</v>
      </c>
      <c r="D28" s="406"/>
      <c r="E28" s="360"/>
    </row>
    <row r="29" spans="1:12" ht="30.75" customHeight="1" x14ac:dyDescent="0.25">
      <c r="A29" s="3" t="s">
        <v>50</v>
      </c>
      <c r="B29" s="29" t="s">
        <v>423</v>
      </c>
      <c r="C29" s="27" t="s">
        <v>381</v>
      </c>
      <c r="D29" s="407"/>
      <c r="E29" s="360"/>
    </row>
    <row r="30" spans="1:12" x14ac:dyDescent="0.25">
      <c r="A30" s="2"/>
      <c r="B30" s="6"/>
      <c r="C30" s="81"/>
      <c r="D30" s="82"/>
    </row>
    <row r="31" spans="1:12" x14ac:dyDescent="0.25">
      <c r="A31" s="2"/>
      <c r="B31" s="80"/>
      <c r="C31" s="81"/>
      <c r="D31" s="82"/>
    </row>
    <row r="32" spans="1:12" x14ac:dyDescent="0.25">
      <c r="B32" s="80"/>
      <c r="C32" s="81"/>
      <c r="D32" s="82"/>
    </row>
    <row r="33" spans="1:4" x14ac:dyDescent="0.25">
      <c r="A33" s="2"/>
      <c r="B33" s="80"/>
      <c r="C33" s="81"/>
      <c r="D33" s="82"/>
    </row>
    <row r="34" spans="1:4" x14ac:dyDescent="0.25">
      <c r="A34" s="2"/>
      <c r="B34" s="80"/>
      <c r="C34" s="81"/>
      <c r="D34" s="82"/>
    </row>
    <row r="35" spans="1:4" x14ac:dyDescent="0.25">
      <c r="A35" s="2"/>
      <c r="B35" s="80"/>
      <c r="C35" s="81"/>
      <c r="D35" s="82"/>
    </row>
    <row r="36" spans="1:4" x14ac:dyDescent="0.25">
      <c r="A36" s="2"/>
      <c r="B36" s="80"/>
      <c r="C36" s="81"/>
      <c r="D36" s="82"/>
    </row>
    <row r="37" spans="1:4" x14ac:dyDescent="0.25">
      <c r="A37" s="2"/>
      <c r="B37" s="80"/>
      <c r="C37" s="81"/>
      <c r="D37" s="82"/>
    </row>
    <row r="38" spans="1:4" x14ac:dyDescent="0.25">
      <c r="A38" s="2"/>
      <c r="B38" s="80"/>
      <c r="C38" s="81"/>
      <c r="D38" s="82"/>
    </row>
    <row r="39" spans="1:4" x14ac:dyDescent="0.25">
      <c r="B39" s="80"/>
      <c r="C39" s="81"/>
      <c r="D39" s="82"/>
    </row>
    <row r="40" spans="1:4" x14ac:dyDescent="0.25">
      <c r="A40" s="2"/>
      <c r="B40" s="80"/>
      <c r="C40" s="81"/>
      <c r="D40" s="82"/>
    </row>
    <row r="41" spans="1:4" x14ac:dyDescent="0.25">
      <c r="A41" s="2"/>
      <c r="B41" s="80"/>
      <c r="C41" s="81"/>
      <c r="D41" s="82"/>
    </row>
    <row r="42" spans="1:4" x14ac:dyDescent="0.25">
      <c r="A42" s="2"/>
      <c r="B42" s="80"/>
      <c r="C42" s="81"/>
      <c r="D42" s="82"/>
    </row>
    <row r="43" spans="1:4" x14ac:dyDescent="0.25">
      <c r="A43" s="2"/>
      <c r="B43" s="80"/>
      <c r="C43" s="81"/>
      <c r="D43" s="82"/>
    </row>
    <row r="44" spans="1:4" x14ac:dyDescent="0.25">
      <c r="A44" s="2"/>
      <c r="B44" s="84"/>
      <c r="C44" s="85"/>
      <c r="D44" s="82"/>
    </row>
    <row r="45" spans="1:4" x14ac:dyDescent="0.25">
      <c r="B45" s="80"/>
      <c r="C45" s="81"/>
      <c r="D45" s="82"/>
    </row>
  </sheetData>
  <sheetProtection algorithmName="SHA-512" hashValue="2UCvyyN/fjNqNS1t/JDEf73WdWuiAoGjd6db01/kq84PGwK1+L0fX+NCPw6oIQkYraCFISKfmhmtvIwch8uHGg==" saltValue="M5ahG9XCk4Y0mpFAapiOZg==" spinCount="100000" sheet="1" selectLockedCells="1"/>
  <mergeCells count="3">
    <mergeCell ref="A1:D1"/>
    <mergeCell ref="A2:D2"/>
    <mergeCell ref="D12:E12"/>
  </mergeCells>
  <phoneticPr fontId="76" type="noConversion"/>
  <dataValidations count="4">
    <dataValidation type="whole" operator="greaterThanOrEqual" allowBlank="1" showInputMessage="1" showErrorMessage="1" error="Please enter a valid number to proceed" prompt="Please make sure that your input is a number." sqref="E28:E29 E25 D14:D19" xr:uid="{00000000-0002-0000-0B00-000000000000}">
      <formula1>0</formula1>
    </dataValidation>
    <dataValidation operator="greaterThanOrEqual" allowBlank="1" showInputMessage="1" showErrorMessage="1" sqref="F17 F22" xr:uid="{00000000-0002-0000-0B00-000002000000}"/>
    <dataValidation type="decimal" operator="greaterThanOrEqual" allowBlank="1" showInputMessage="1" showErrorMessage="1" error="Please enter a valid number to proceed" prompt="Please make sure that your input is a number." sqref="E22:E24" xr:uid="{DC776DA2-F44B-40CF-84F8-2E816E6814D1}">
      <formula1>0</formula1>
    </dataValidation>
    <dataValidation type="custom" allowBlank="1" showInputMessage="1" showErrorMessage="1" error="Please enter a valid amount to proceed" prompt="Please make sure that your input is an amount value." sqref="E14:E19" xr:uid="{00000000-0002-0000-0B00-000001000000}">
      <formula1>ISNUMBER(E14)</formula1>
    </dataValidation>
  </dataValidations>
  <pageMargins left="0.7" right="0.7" top="0.75" bottom="0.75" header="0.3" footer="0.3"/>
  <pageSetup orientation="portrait" r:id="rId1"/>
  <ignoredErrors>
    <ignoredError sqref="A25:A29 A13:A18 A19:A24"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sheetPr>
  <dimension ref="A1:BI237"/>
  <sheetViews>
    <sheetView showGridLines="0" zoomScale="74" zoomScaleNormal="106" workbookViewId="0">
      <selection activeCell="E59" sqref="E59"/>
    </sheetView>
  </sheetViews>
  <sheetFormatPr defaultColWidth="8.7109375" defaultRowHeight="15" x14ac:dyDescent="0.25"/>
  <cols>
    <col min="1" max="1" width="8.7109375" style="227"/>
    <col min="2" max="2" width="32.28515625" style="227" bestFit="1" customWidth="1"/>
    <col min="3" max="3" width="30.7109375" style="227" customWidth="1"/>
    <col min="4" max="4" width="22" style="227" customWidth="1"/>
    <col min="5" max="5" width="19.42578125" style="227" customWidth="1"/>
    <col min="6" max="6" width="14.5703125" style="227" bestFit="1" customWidth="1"/>
    <col min="7" max="7" width="29.85546875" style="227" customWidth="1"/>
    <col min="8" max="61" width="8.7109375" style="226"/>
    <col min="62" max="16384" width="8.7109375" style="227"/>
  </cols>
  <sheetData>
    <row r="1" spans="1:7" ht="18.75" x14ac:dyDescent="0.25">
      <c r="A1" s="426" t="str">
        <f>'Profit &amp; Loss Statement'!A1:D1</f>
        <v xml:space="preserve">GHANA CO-OPERATIVE SUSU COLLECTORS ASSOCIATION </v>
      </c>
      <c r="B1" s="426"/>
      <c r="C1" s="426"/>
      <c r="D1" s="426"/>
      <c r="E1" s="12">
        <f>SUM(D4:D10) +IF(E12=0,1,0)</f>
        <v>0</v>
      </c>
      <c r="F1" s="47" t="str">
        <f>IF(SUM(D4:D10)&gt;0,"Error!", IF(D15=0,"Error!", IF(D16=0,"Error!", "")))</f>
        <v/>
      </c>
    </row>
    <row r="2" spans="1:7" ht="18.75" x14ac:dyDescent="0.25">
      <c r="A2" s="426" t="str">
        <f>'Profit &amp; Loss Statement'!A2:D2</f>
        <v>MEMBERS REPORTING TEMPLATE</v>
      </c>
      <c r="B2" s="426"/>
      <c r="C2" s="426"/>
      <c r="D2" s="426"/>
    </row>
    <row r="3" spans="1:7" ht="15.75" x14ac:dyDescent="0.25">
      <c r="A3" s="15"/>
      <c r="B3" s="48"/>
      <c r="C3" s="49"/>
      <c r="D3" s="11"/>
    </row>
    <row r="4" spans="1:7" ht="15.75" x14ac:dyDescent="0.25">
      <c r="A4" s="11"/>
      <c r="B4" s="17" t="s">
        <v>9</v>
      </c>
      <c r="C4" s="50" t="str">
        <f>IF('Profit &amp; Loss Statement'!C4 = "", "", 'Profit &amp; Loss Statement'!C4)</f>
        <v>QUICK RETURNS SUSU ENTERPRISE</v>
      </c>
      <c r="D4" s="18">
        <f>IF(C4="",1,IF(ISTEXT(C4),0,1))+IF(OR(ISNUMBER(LEFT(C4)),LEFT(C4)=" "),1,0)</f>
        <v>0</v>
      </c>
    </row>
    <row r="5" spans="1:7" ht="15.75" x14ac:dyDescent="0.25">
      <c r="A5" s="11"/>
      <c r="B5" s="17" t="s">
        <v>10</v>
      </c>
      <c r="C5" s="50" t="str">
        <f>IF('Profit &amp; Loss Statement'!C5 = "", "", 'Profit &amp; Loss Statement'!C5)</f>
        <v xml:space="preserve">
GCSCA-GT-0-0000288</v>
      </c>
      <c r="D5" s="18">
        <f>IF(C5="",1,IF(ISTEXT(C5),0,1))+IF(OR(ISNUMBER(LEFT(C5)),LEFT(C5)=" "),1,0)</f>
        <v>0</v>
      </c>
    </row>
    <row r="6" spans="1:7" ht="15.75" x14ac:dyDescent="0.25">
      <c r="A6" s="51"/>
      <c r="B6" s="17" t="s">
        <v>11</v>
      </c>
      <c r="C6" s="134" t="str">
        <f>IF('Profit &amp; Loss Statement'!C6 = "", "", 'Profit &amp; Loss Statement'!C6)</f>
        <v xml:space="preserve">GCSCA-PR-UA </v>
      </c>
      <c r="D6" s="18">
        <f>IF(C6="",1,IF(ISTEXT(C6),0,1))</f>
        <v>0</v>
      </c>
    </row>
    <row r="7" spans="1:7" ht="15.75" x14ac:dyDescent="0.25">
      <c r="A7" s="11"/>
      <c r="B7" s="17" t="s">
        <v>12</v>
      </c>
      <c r="C7" s="50" t="str">
        <f>IF('Profit &amp; Loss Statement'!C7 = "", "", 'Profit &amp; Loss Statement'!C7)</f>
        <v>JUNE</v>
      </c>
      <c r="D7" s="18">
        <f>IF(C7="",1,IF(ISTEXT(C7),0,1))</f>
        <v>0</v>
      </c>
    </row>
    <row r="8" spans="1:7" ht="15.75" x14ac:dyDescent="0.25">
      <c r="A8" s="51"/>
      <c r="B8" s="17" t="s">
        <v>13</v>
      </c>
      <c r="C8" s="52" t="str">
        <f>IF('Profit &amp; Loss Statement'!C8 = "", "", 'Profit &amp; Loss Statement'!C8)</f>
        <v>July 2026</v>
      </c>
      <c r="D8" s="18">
        <f>IF(C8="",1, 0)</f>
        <v>0</v>
      </c>
    </row>
    <row r="9" spans="1:7" ht="15.75" x14ac:dyDescent="0.25">
      <c r="A9" s="20"/>
      <c r="B9" s="17" t="s">
        <v>14</v>
      </c>
      <c r="C9" s="135" t="str">
        <f>'Profit &amp; Loss Statement'!C9</f>
        <v>2026</v>
      </c>
      <c r="D9" s="18">
        <f>IF(C9="",1, 0)</f>
        <v>0</v>
      </c>
    </row>
    <row r="10" spans="1:7" ht="15.75" x14ac:dyDescent="0.25">
      <c r="A10" s="68"/>
      <c r="B10" s="17" t="s">
        <v>156</v>
      </c>
      <c r="C10" s="135" t="str">
        <f>IF('Profit &amp; Loss Statement'!C10 = "", "", 'Profit &amp; Loss Statement'!C10)</f>
        <v>Greater Accra-GA</v>
      </c>
      <c r="D10" s="18">
        <f>IF(C10="",1, 0)</f>
        <v>0</v>
      </c>
    </row>
    <row r="12" spans="1:7" ht="15.75" x14ac:dyDescent="0.25">
      <c r="B12" s="355" t="s">
        <v>295</v>
      </c>
      <c r="C12" s="356"/>
      <c r="D12" s="356"/>
      <c r="E12" s="357">
        <f>SUM(E15:E34)</f>
        <v>27345</v>
      </c>
      <c r="F12" s="142" t="str">
        <f>IF(E12="","Error!", IF(E12=0, "Error!", ""))</f>
        <v/>
      </c>
    </row>
    <row r="13" spans="1:7" ht="22.5" customHeight="1" x14ac:dyDescent="0.25">
      <c r="A13" s="315"/>
      <c r="B13" s="445" t="str">
        <f>UPPER("Top 20 Largest Depositors")</f>
        <v>TOP 20 LARGEST DEPOSITORS</v>
      </c>
      <c r="C13" s="445"/>
      <c r="D13" s="445"/>
      <c r="E13" s="445"/>
      <c r="F13" s="445"/>
      <c r="G13" s="445"/>
    </row>
    <row r="14" spans="1:7" ht="33" customHeight="1" x14ac:dyDescent="0.25">
      <c r="A14" s="320" t="s">
        <v>178</v>
      </c>
      <c r="B14" s="321" t="s">
        <v>244</v>
      </c>
      <c r="C14" s="321" t="s">
        <v>320</v>
      </c>
      <c r="D14" s="321" t="s">
        <v>293</v>
      </c>
      <c r="E14" s="321" t="s">
        <v>319</v>
      </c>
      <c r="F14" s="321" t="s">
        <v>245</v>
      </c>
      <c r="G14" s="321" t="s">
        <v>294</v>
      </c>
    </row>
    <row r="15" spans="1:7" ht="20.100000000000001" customHeight="1" x14ac:dyDescent="0.25">
      <c r="A15" s="318">
        <v>1</v>
      </c>
      <c r="B15" s="319" t="s">
        <v>433</v>
      </c>
      <c r="C15" s="408"/>
      <c r="D15" s="310" t="s">
        <v>432</v>
      </c>
      <c r="E15" s="311">
        <v>2500</v>
      </c>
      <c r="F15" s="312" t="s">
        <v>431</v>
      </c>
      <c r="G15" s="361"/>
    </row>
    <row r="16" spans="1:7" ht="20.100000000000001" customHeight="1" x14ac:dyDescent="0.25">
      <c r="A16" s="316">
        <v>2</v>
      </c>
      <c r="B16" s="317" t="s">
        <v>434</v>
      </c>
      <c r="C16" s="408"/>
      <c r="D16" s="313" t="s">
        <v>432</v>
      </c>
      <c r="E16" s="311">
        <v>1100</v>
      </c>
      <c r="F16" s="312" t="s">
        <v>431</v>
      </c>
      <c r="G16" s="361"/>
    </row>
    <row r="17" spans="1:7" ht="20.100000000000001" customHeight="1" x14ac:dyDescent="0.25">
      <c r="A17" s="316">
        <v>3</v>
      </c>
      <c r="B17" s="317" t="s">
        <v>435</v>
      </c>
      <c r="C17" s="408"/>
      <c r="D17" s="313" t="s">
        <v>432</v>
      </c>
      <c r="E17" s="311">
        <v>3050</v>
      </c>
      <c r="F17" s="447"/>
      <c r="G17" s="361"/>
    </row>
    <row r="18" spans="1:7" ht="20.100000000000001" customHeight="1" x14ac:dyDescent="0.25">
      <c r="A18" s="316">
        <v>4</v>
      </c>
      <c r="B18" s="317" t="s">
        <v>436</v>
      </c>
      <c r="C18" s="408"/>
      <c r="D18" s="313" t="s">
        <v>432</v>
      </c>
      <c r="E18" s="311">
        <v>560</v>
      </c>
      <c r="F18" s="312" t="s">
        <v>431</v>
      </c>
      <c r="G18" s="361"/>
    </row>
    <row r="19" spans="1:7" ht="20.100000000000001" customHeight="1" x14ac:dyDescent="0.25">
      <c r="A19" s="316">
        <v>5</v>
      </c>
      <c r="B19" s="317" t="s">
        <v>437</v>
      </c>
      <c r="C19" s="408"/>
      <c r="D19" s="313" t="s">
        <v>432</v>
      </c>
      <c r="E19" s="311">
        <v>1250</v>
      </c>
      <c r="F19" s="312" t="s">
        <v>431</v>
      </c>
      <c r="G19" s="361"/>
    </row>
    <row r="20" spans="1:7" ht="20.100000000000001" customHeight="1" x14ac:dyDescent="0.25">
      <c r="A20" s="316">
        <v>6</v>
      </c>
      <c r="B20" s="317" t="s">
        <v>438</v>
      </c>
      <c r="C20" s="408"/>
      <c r="D20" s="313" t="s">
        <v>432</v>
      </c>
      <c r="E20" s="311">
        <v>700</v>
      </c>
      <c r="F20" s="312" t="s">
        <v>431</v>
      </c>
      <c r="G20" s="361"/>
    </row>
    <row r="21" spans="1:7" ht="20.100000000000001" customHeight="1" x14ac:dyDescent="0.25">
      <c r="A21" s="316">
        <v>7</v>
      </c>
      <c r="B21" s="317" t="s">
        <v>439</v>
      </c>
      <c r="C21" s="408"/>
      <c r="D21" s="313" t="s">
        <v>432</v>
      </c>
      <c r="E21" s="311">
        <v>4000</v>
      </c>
      <c r="F21" s="312" t="s">
        <v>431</v>
      </c>
      <c r="G21" s="361"/>
    </row>
    <row r="22" spans="1:7" ht="20.100000000000001" customHeight="1" x14ac:dyDescent="0.25">
      <c r="A22" s="316">
        <v>8</v>
      </c>
      <c r="B22" s="317" t="s">
        <v>440</v>
      </c>
      <c r="C22" s="408"/>
      <c r="D22" s="313" t="s">
        <v>432</v>
      </c>
      <c r="E22" s="311">
        <v>1760</v>
      </c>
      <c r="F22" s="312" t="s">
        <v>431</v>
      </c>
      <c r="G22" s="361"/>
    </row>
    <row r="23" spans="1:7" ht="20.100000000000001" customHeight="1" x14ac:dyDescent="0.25">
      <c r="A23" s="316">
        <v>9</v>
      </c>
      <c r="B23" s="317" t="s">
        <v>441</v>
      </c>
      <c r="C23" s="408"/>
      <c r="D23" s="313" t="s">
        <v>432</v>
      </c>
      <c r="E23" s="311">
        <v>820</v>
      </c>
      <c r="F23" s="312" t="s">
        <v>431</v>
      </c>
      <c r="G23" s="361"/>
    </row>
    <row r="24" spans="1:7" ht="20.100000000000001" customHeight="1" x14ac:dyDescent="0.25">
      <c r="A24" s="316">
        <v>10</v>
      </c>
      <c r="B24" s="317" t="s">
        <v>442</v>
      </c>
      <c r="C24" s="408"/>
      <c r="D24" s="313" t="s">
        <v>432</v>
      </c>
      <c r="E24" s="311">
        <v>500</v>
      </c>
      <c r="F24" s="312" t="s">
        <v>431</v>
      </c>
      <c r="G24" s="361"/>
    </row>
    <row r="25" spans="1:7" ht="20.100000000000001" customHeight="1" x14ac:dyDescent="0.25">
      <c r="A25" s="316">
        <v>11</v>
      </c>
      <c r="B25" s="317" t="s">
        <v>443</v>
      </c>
      <c r="C25" s="408"/>
      <c r="D25" s="313" t="s">
        <v>432</v>
      </c>
      <c r="E25" s="311">
        <v>550</v>
      </c>
      <c r="F25" s="312" t="s">
        <v>431</v>
      </c>
      <c r="G25" s="361"/>
    </row>
    <row r="26" spans="1:7" ht="20.100000000000001" customHeight="1" x14ac:dyDescent="0.25">
      <c r="A26" s="316">
        <v>12</v>
      </c>
      <c r="B26" s="317" t="s">
        <v>444</v>
      </c>
      <c r="C26" s="408"/>
      <c r="D26" s="313" t="s">
        <v>432</v>
      </c>
      <c r="E26" s="311">
        <v>205</v>
      </c>
      <c r="F26" s="312" t="s">
        <v>431</v>
      </c>
      <c r="G26" s="361"/>
    </row>
    <row r="27" spans="1:7" ht="20.100000000000001" customHeight="1" x14ac:dyDescent="0.25">
      <c r="A27" s="316">
        <v>13</v>
      </c>
      <c r="B27" s="317" t="s">
        <v>445</v>
      </c>
      <c r="C27" s="408"/>
      <c r="D27" s="313" t="s">
        <v>432</v>
      </c>
      <c r="E27" s="311">
        <v>1580</v>
      </c>
      <c r="F27" s="312" t="s">
        <v>431</v>
      </c>
      <c r="G27" s="361"/>
    </row>
    <row r="28" spans="1:7" ht="20.100000000000001" customHeight="1" x14ac:dyDescent="0.25">
      <c r="A28" s="316">
        <v>14</v>
      </c>
      <c r="B28" s="317" t="s">
        <v>446</v>
      </c>
      <c r="C28" s="408"/>
      <c r="D28" s="313" t="s">
        <v>432</v>
      </c>
      <c r="E28" s="311">
        <v>1700</v>
      </c>
      <c r="F28" s="312" t="s">
        <v>431</v>
      </c>
      <c r="G28" s="361"/>
    </row>
    <row r="29" spans="1:7" ht="20.100000000000001" customHeight="1" x14ac:dyDescent="0.25">
      <c r="A29" s="316">
        <v>15</v>
      </c>
      <c r="B29" s="317" t="s">
        <v>447</v>
      </c>
      <c r="C29" s="408"/>
      <c r="D29" s="313" t="s">
        <v>432</v>
      </c>
      <c r="E29" s="311">
        <v>1250</v>
      </c>
      <c r="F29" s="312" t="s">
        <v>431</v>
      </c>
      <c r="G29" s="361"/>
    </row>
    <row r="30" spans="1:7" ht="20.100000000000001" customHeight="1" x14ac:dyDescent="0.25">
      <c r="A30" s="316">
        <v>16</v>
      </c>
      <c r="B30" s="317" t="s">
        <v>448</v>
      </c>
      <c r="C30" s="408"/>
      <c r="D30" s="313" t="s">
        <v>432</v>
      </c>
      <c r="E30" s="311">
        <v>1950</v>
      </c>
      <c r="F30" s="312" t="s">
        <v>431</v>
      </c>
      <c r="G30" s="361"/>
    </row>
    <row r="31" spans="1:7" ht="20.100000000000001" customHeight="1" x14ac:dyDescent="0.25">
      <c r="A31" s="316">
        <v>17</v>
      </c>
      <c r="B31" s="317" t="s">
        <v>449</v>
      </c>
      <c r="C31" s="408"/>
      <c r="D31" s="313" t="s">
        <v>432</v>
      </c>
      <c r="E31" s="311">
        <v>30</v>
      </c>
      <c r="F31" s="312" t="s">
        <v>431</v>
      </c>
      <c r="G31" s="361"/>
    </row>
    <row r="32" spans="1:7" ht="20.100000000000001" customHeight="1" x14ac:dyDescent="0.25">
      <c r="A32" s="316">
        <v>18</v>
      </c>
      <c r="B32" s="317" t="s">
        <v>450</v>
      </c>
      <c r="C32" s="408"/>
      <c r="D32" s="313" t="s">
        <v>432</v>
      </c>
      <c r="E32" s="311">
        <v>540</v>
      </c>
      <c r="F32" s="312" t="s">
        <v>431</v>
      </c>
      <c r="G32" s="361"/>
    </row>
    <row r="33" spans="1:7" ht="20.100000000000001" customHeight="1" x14ac:dyDescent="0.25">
      <c r="A33" s="316">
        <v>19</v>
      </c>
      <c r="B33" s="317" t="s">
        <v>451</v>
      </c>
      <c r="C33" s="408"/>
      <c r="D33" s="313" t="s">
        <v>432</v>
      </c>
      <c r="E33" s="311">
        <v>1800</v>
      </c>
      <c r="F33" s="312" t="s">
        <v>431</v>
      </c>
      <c r="G33" s="361"/>
    </row>
    <row r="34" spans="1:7" ht="20.100000000000001" customHeight="1" x14ac:dyDescent="0.25">
      <c r="A34" s="316">
        <v>20</v>
      </c>
      <c r="B34" s="317" t="s">
        <v>452</v>
      </c>
      <c r="C34" s="408"/>
      <c r="D34" s="314" t="s">
        <v>432</v>
      </c>
      <c r="E34" s="311">
        <v>1500</v>
      </c>
      <c r="F34" s="312" t="s">
        <v>431</v>
      </c>
      <c r="G34" s="361"/>
    </row>
    <row r="35" spans="1:7" s="226" customFormat="1" x14ac:dyDescent="0.25"/>
    <row r="36" spans="1:7" s="226" customFormat="1" x14ac:dyDescent="0.25"/>
    <row r="37" spans="1:7" s="226" customFormat="1" ht="15.75" x14ac:dyDescent="0.25">
      <c r="A37" s="227"/>
      <c r="B37" s="355" t="s">
        <v>382</v>
      </c>
      <c r="C37" s="356"/>
      <c r="D37" s="356"/>
      <c r="E37" s="357">
        <f>SUM(E40:E59)</f>
        <v>3516</v>
      </c>
      <c r="F37" s="142"/>
      <c r="G37" s="227"/>
    </row>
    <row r="38" spans="1:7" s="226" customFormat="1" ht="15.75" x14ac:dyDescent="0.25">
      <c r="A38" s="315"/>
      <c r="B38" s="445" t="str">
        <f>UPPER("Top 20 Smallest Depositors")</f>
        <v>TOP 20 SMALLEST DEPOSITORS</v>
      </c>
      <c r="C38" s="445"/>
      <c r="D38" s="445"/>
      <c r="E38" s="445"/>
      <c r="F38" s="445"/>
      <c r="G38" s="445"/>
    </row>
    <row r="39" spans="1:7" s="226" customFormat="1" ht="31.5" x14ac:dyDescent="0.25">
      <c r="A39" s="320" t="s">
        <v>178</v>
      </c>
      <c r="B39" s="321" t="s">
        <v>244</v>
      </c>
      <c r="C39" s="321" t="s">
        <v>320</v>
      </c>
      <c r="D39" s="321" t="s">
        <v>293</v>
      </c>
      <c r="E39" s="321" t="s">
        <v>319</v>
      </c>
      <c r="F39" s="321" t="s">
        <v>245</v>
      </c>
      <c r="G39" s="321" t="s">
        <v>294</v>
      </c>
    </row>
    <row r="40" spans="1:7" s="226" customFormat="1" ht="15.75" x14ac:dyDescent="0.25">
      <c r="A40" s="318">
        <v>1</v>
      </c>
      <c r="B40" s="319" t="s">
        <v>453</v>
      </c>
      <c r="C40" s="408"/>
      <c r="D40" s="310" t="s">
        <v>432</v>
      </c>
      <c r="E40" s="311">
        <v>140</v>
      </c>
      <c r="F40" s="312" t="s">
        <v>431</v>
      </c>
      <c r="G40" s="361"/>
    </row>
    <row r="41" spans="1:7" s="226" customFormat="1" ht="15.75" x14ac:dyDescent="0.25">
      <c r="A41" s="316">
        <v>2</v>
      </c>
      <c r="B41" s="317" t="s">
        <v>454</v>
      </c>
      <c r="C41" s="408"/>
      <c r="D41" s="313" t="s">
        <v>432</v>
      </c>
      <c r="E41" s="311">
        <v>260</v>
      </c>
      <c r="F41" s="312" t="s">
        <v>431</v>
      </c>
      <c r="G41" s="361"/>
    </row>
    <row r="42" spans="1:7" s="226" customFormat="1" ht="15.75" x14ac:dyDescent="0.25">
      <c r="A42" s="316">
        <v>3</v>
      </c>
      <c r="B42" s="317" t="s">
        <v>455</v>
      </c>
      <c r="C42" s="408"/>
      <c r="D42" s="313" t="s">
        <v>432</v>
      </c>
      <c r="E42" s="311">
        <v>400</v>
      </c>
      <c r="F42" s="312" t="s">
        <v>431</v>
      </c>
      <c r="G42" s="361"/>
    </row>
    <row r="43" spans="1:7" s="226" customFormat="1" ht="15.75" x14ac:dyDescent="0.25">
      <c r="A43" s="316">
        <v>4</v>
      </c>
      <c r="B43" s="317" t="s">
        <v>456</v>
      </c>
      <c r="C43" s="408"/>
      <c r="D43" s="313" t="s">
        <v>432</v>
      </c>
      <c r="E43" s="311">
        <v>275</v>
      </c>
      <c r="F43" s="312" t="s">
        <v>431</v>
      </c>
      <c r="G43" s="361"/>
    </row>
    <row r="44" spans="1:7" s="226" customFormat="1" ht="15.75" x14ac:dyDescent="0.25">
      <c r="A44" s="316">
        <v>5</v>
      </c>
      <c r="B44" s="317" t="s">
        <v>457</v>
      </c>
      <c r="C44" s="408"/>
      <c r="D44" s="313" t="s">
        <v>432</v>
      </c>
      <c r="E44" s="311">
        <v>140</v>
      </c>
      <c r="F44" s="312" t="s">
        <v>431</v>
      </c>
      <c r="G44" s="361"/>
    </row>
    <row r="45" spans="1:7" s="226" customFormat="1" ht="15.75" x14ac:dyDescent="0.25">
      <c r="A45" s="316">
        <v>6</v>
      </c>
      <c r="B45" s="317" t="s">
        <v>458</v>
      </c>
      <c r="C45" s="408"/>
      <c r="D45" s="313" t="s">
        <v>432</v>
      </c>
      <c r="E45" s="311">
        <v>360</v>
      </c>
      <c r="F45" s="312" t="s">
        <v>431</v>
      </c>
      <c r="G45" s="361"/>
    </row>
    <row r="46" spans="1:7" s="226" customFormat="1" ht="15.75" x14ac:dyDescent="0.25">
      <c r="A46" s="316">
        <v>7</v>
      </c>
      <c r="B46" s="317" t="s">
        <v>459</v>
      </c>
      <c r="C46" s="408"/>
      <c r="D46" s="313" t="s">
        <v>432</v>
      </c>
      <c r="E46" s="311">
        <v>290</v>
      </c>
      <c r="F46" s="312" t="s">
        <v>431</v>
      </c>
      <c r="G46" s="361"/>
    </row>
    <row r="47" spans="1:7" s="226" customFormat="1" ht="15.75" x14ac:dyDescent="0.25">
      <c r="A47" s="316">
        <v>8</v>
      </c>
      <c r="B47" s="317" t="s">
        <v>460</v>
      </c>
      <c r="C47" s="408"/>
      <c r="D47" s="313" t="s">
        <v>432</v>
      </c>
      <c r="E47" s="311">
        <v>310</v>
      </c>
      <c r="F47" s="312" t="s">
        <v>431</v>
      </c>
      <c r="G47" s="361"/>
    </row>
    <row r="48" spans="1:7" s="226" customFormat="1" ht="15.75" x14ac:dyDescent="0.25">
      <c r="A48" s="316">
        <v>9</v>
      </c>
      <c r="B48" s="317" t="s">
        <v>461</v>
      </c>
      <c r="C48" s="408"/>
      <c r="D48" s="313" t="s">
        <v>432</v>
      </c>
      <c r="E48" s="311">
        <v>350</v>
      </c>
      <c r="F48" s="312" t="s">
        <v>431</v>
      </c>
      <c r="G48" s="361"/>
    </row>
    <row r="49" spans="1:7" s="226" customFormat="1" ht="15.75" x14ac:dyDescent="0.25">
      <c r="A49" s="316">
        <v>10</v>
      </c>
      <c r="B49" s="317" t="s">
        <v>462</v>
      </c>
      <c r="C49" s="408"/>
      <c r="D49" s="313" t="s">
        <v>432</v>
      </c>
      <c r="E49" s="311">
        <v>30</v>
      </c>
      <c r="F49" s="312" t="s">
        <v>431</v>
      </c>
      <c r="G49" s="361"/>
    </row>
    <row r="50" spans="1:7" s="226" customFormat="1" ht="15.75" x14ac:dyDescent="0.25">
      <c r="A50" s="316">
        <v>11</v>
      </c>
      <c r="B50" s="317" t="s">
        <v>463</v>
      </c>
      <c r="C50" s="408"/>
      <c r="D50" s="313" t="s">
        <v>432</v>
      </c>
      <c r="E50" s="311">
        <v>60</v>
      </c>
      <c r="F50" s="312" t="s">
        <v>431</v>
      </c>
      <c r="G50" s="361"/>
    </row>
    <row r="51" spans="1:7" s="226" customFormat="1" ht="15.75" x14ac:dyDescent="0.25">
      <c r="A51" s="316">
        <v>12</v>
      </c>
      <c r="B51" s="317" t="s">
        <v>464</v>
      </c>
      <c r="C51" s="408"/>
      <c r="D51" s="313" t="s">
        <v>432</v>
      </c>
      <c r="E51" s="311">
        <v>50</v>
      </c>
      <c r="F51" s="312" t="s">
        <v>431</v>
      </c>
      <c r="G51" s="361"/>
    </row>
    <row r="52" spans="1:7" s="226" customFormat="1" ht="15.75" x14ac:dyDescent="0.25">
      <c r="A52" s="316">
        <v>13</v>
      </c>
      <c r="B52" s="317" t="s">
        <v>465</v>
      </c>
      <c r="C52" s="408"/>
      <c r="D52" s="313" t="s">
        <v>432</v>
      </c>
      <c r="E52" s="311">
        <v>50</v>
      </c>
      <c r="F52" s="312" t="s">
        <v>431</v>
      </c>
      <c r="G52" s="361"/>
    </row>
    <row r="53" spans="1:7" s="226" customFormat="1" ht="15.75" x14ac:dyDescent="0.25">
      <c r="A53" s="316">
        <v>14</v>
      </c>
      <c r="B53" s="317" t="s">
        <v>466</v>
      </c>
      <c r="C53" s="408"/>
      <c r="D53" s="313" t="s">
        <v>432</v>
      </c>
      <c r="E53" s="311">
        <v>1</v>
      </c>
      <c r="F53" s="312" t="s">
        <v>431</v>
      </c>
      <c r="G53" s="361"/>
    </row>
    <row r="54" spans="1:7" s="226" customFormat="1" ht="15.75" x14ac:dyDescent="0.25">
      <c r="A54" s="316">
        <v>15</v>
      </c>
      <c r="B54" s="317" t="s">
        <v>467</v>
      </c>
      <c r="C54" s="408"/>
      <c r="D54" s="313" t="s">
        <v>432</v>
      </c>
      <c r="E54" s="311">
        <v>240</v>
      </c>
      <c r="F54" s="312" t="s">
        <v>431</v>
      </c>
      <c r="G54" s="361"/>
    </row>
    <row r="55" spans="1:7" s="226" customFormat="1" ht="15.75" x14ac:dyDescent="0.25">
      <c r="A55" s="316">
        <v>16</v>
      </c>
      <c r="B55" s="317" t="s">
        <v>468</v>
      </c>
      <c r="C55" s="408"/>
      <c r="D55" s="313" t="s">
        <v>432</v>
      </c>
      <c r="E55" s="311">
        <v>45</v>
      </c>
      <c r="F55" s="312" t="s">
        <v>431</v>
      </c>
      <c r="G55" s="361"/>
    </row>
    <row r="56" spans="1:7" s="226" customFormat="1" ht="15.75" x14ac:dyDescent="0.25">
      <c r="A56" s="316">
        <v>17</v>
      </c>
      <c r="B56" s="317" t="s">
        <v>469</v>
      </c>
      <c r="C56" s="408"/>
      <c r="D56" s="313" t="s">
        <v>432</v>
      </c>
      <c r="E56" s="311">
        <v>250</v>
      </c>
      <c r="F56" s="312" t="s">
        <v>431</v>
      </c>
      <c r="G56" s="361"/>
    </row>
    <row r="57" spans="1:7" s="226" customFormat="1" ht="15.75" x14ac:dyDescent="0.25">
      <c r="A57" s="316">
        <v>18</v>
      </c>
      <c r="B57" s="317" t="s">
        <v>470</v>
      </c>
      <c r="C57" s="408"/>
      <c r="D57" s="313" t="s">
        <v>432</v>
      </c>
      <c r="E57" s="311">
        <v>190</v>
      </c>
      <c r="F57" s="312" t="s">
        <v>431</v>
      </c>
      <c r="G57" s="361"/>
    </row>
    <row r="58" spans="1:7" s="226" customFormat="1" ht="15.75" x14ac:dyDescent="0.25">
      <c r="A58" s="316">
        <v>19</v>
      </c>
      <c r="B58" s="317" t="s">
        <v>471</v>
      </c>
      <c r="C58" s="408"/>
      <c r="D58" s="313" t="s">
        <v>432</v>
      </c>
      <c r="E58" s="311">
        <v>65</v>
      </c>
      <c r="F58" s="312" t="s">
        <v>431</v>
      </c>
      <c r="G58" s="361"/>
    </row>
    <row r="59" spans="1:7" s="226" customFormat="1" ht="15.75" x14ac:dyDescent="0.25">
      <c r="A59" s="316">
        <v>20</v>
      </c>
      <c r="B59" s="317" t="s">
        <v>472</v>
      </c>
      <c r="C59" s="408"/>
      <c r="D59" s="314" t="s">
        <v>432</v>
      </c>
      <c r="E59" s="311">
        <v>10</v>
      </c>
      <c r="F59" s="312" t="s">
        <v>431</v>
      </c>
      <c r="G59" s="361"/>
    </row>
    <row r="60" spans="1:7" s="226" customFormat="1" x14ac:dyDescent="0.25"/>
    <row r="61" spans="1:7" s="226" customFormat="1" x14ac:dyDescent="0.25"/>
    <row r="62" spans="1:7" s="226" customFormat="1" x14ac:dyDescent="0.25"/>
    <row r="63" spans="1:7" s="226" customFormat="1" x14ac:dyDescent="0.25"/>
    <row r="64" spans="1:7" s="226" customFormat="1" x14ac:dyDescent="0.25"/>
    <row r="65" s="226" customFormat="1" x14ac:dyDescent="0.25"/>
    <row r="66" s="226" customFormat="1" x14ac:dyDescent="0.25"/>
    <row r="67" s="226" customFormat="1" x14ac:dyDescent="0.25"/>
    <row r="68" s="226" customFormat="1" x14ac:dyDescent="0.25"/>
    <row r="69" s="226" customFormat="1" x14ac:dyDescent="0.25"/>
    <row r="70" s="226" customFormat="1" x14ac:dyDescent="0.25"/>
    <row r="71" s="226" customFormat="1" x14ac:dyDescent="0.25"/>
    <row r="72" s="226" customFormat="1" x14ac:dyDescent="0.25"/>
    <row r="73" s="226" customFormat="1" x14ac:dyDescent="0.25"/>
    <row r="74" s="226" customFormat="1" x14ac:dyDescent="0.25"/>
    <row r="75" s="226" customFormat="1" x14ac:dyDescent="0.25"/>
    <row r="76" s="226" customFormat="1" x14ac:dyDescent="0.25"/>
    <row r="77" s="226" customFormat="1" x14ac:dyDescent="0.25"/>
    <row r="78" s="226" customFormat="1" x14ac:dyDescent="0.25"/>
    <row r="79" s="226" customFormat="1" x14ac:dyDescent="0.25"/>
    <row r="80" s="226" customFormat="1" x14ac:dyDescent="0.25"/>
    <row r="81" s="226" customFormat="1" x14ac:dyDescent="0.25"/>
    <row r="82" s="226" customFormat="1" x14ac:dyDescent="0.25"/>
    <row r="83" s="226" customFormat="1" x14ac:dyDescent="0.25"/>
    <row r="84" s="226" customFormat="1" x14ac:dyDescent="0.25"/>
    <row r="85" s="226" customFormat="1" x14ac:dyDescent="0.25"/>
    <row r="86" s="226" customFormat="1" x14ac:dyDescent="0.25"/>
    <row r="87" s="226" customFormat="1" x14ac:dyDescent="0.25"/>
    <row r="88" s="226" customFormat="1" x14ac:dyDescent="0.25"/>
    <row r="89" s="226" customFormat="1" x14ac:dyDescent="0.25"/>
    <row r="90" s="226" customFormat="1" x14ac:dyDescent="0.25"/>
    <row r="91" s="226" customFormat="1" x14ac:dyDescent="0.25"/>
    <row r="92" s="226" customFormat="1" x14ac:dyDescent="0.25"/>
    <row r="93" s="226" customFormat="1" x14ac:dyDescent="0.25"/>
    <row r="94" s="226" customFormat="1" x14ac:dyDescent="0.25"/>
    <row r="95" s="226" customFormat="1" x14ac:dyDescent="0.25"/>
    <row r="96" s="226" customFormat="1" x14ac:dyDescent="0.25"/>
    <row r="97" s="226" customFormat="1" x14ac:dyDescent="0.25"/>
    <row r="98" s="226" customFormat="1" x14ac:dyDescent="0.25"/>
    <row r="99" s="226" customFormat="1" x14ac:dyDescent="0.25"/>
    <row r="100" s="226" customFormat="1" x14ac:dyDescent="0.25"/>
    <row r="101" s="226" customFormat="1" x14ac:dyDescent="0.25"/>
    <row r="102" s="226" customFormat="1" x14ac:dyDescent="0.25"/>
    <row r="103" s="226" customFormat="1" x14ac:dyDescent="0.25"/>
    <row r="104" s="226" customFormat="1" x14ac:dyDescent="0.25"/>
    <row r="105" s="226" customFormat="1" x14ac:dyDescent="0.25"/>
    <row r="106" s="226" customFormat="1" x14ac:dyDescent="0.25"/>
    <row r="107" s="226" customFormat="1" x14ac:dyDescent="0.25"/>
    <row r="108" s="226" customFormat="1" x14ac:dyDescent="0.25"/>
    <row r="109" s="226" customFormat="1" x14ac:dyDescent="0.25"/>
    <row r="110" s="226" customFormat="1" x14ac:dyDescent="0.25"/>
    <row r="111" s="226" customFormat="1" x14ac:dyDescent="0.25"/>
    <row r="112" s="226" customFormat="1" x14ac:dyDescent="0.25"/>
    <row r="113" s="226" customFormat="1" x14ac:dyDescent="0.25"/>
    <row r="114" s="226" customFormat="1" x14ac:dyDescent="0.25"/>
    <row r="115" s="226" customFormat="1" x14ac:dyDescent="0.25"/>
    <row r="116" s="226" customFormat="1" x14ac:dyDescent="0.25"/>
    <row r="117" s="226" customFormat="1" x14ac:dyDescent="0.25"/>
    <row r="118" s="226" customFormat="1" x14ac:dyDescent="0.25"/>
    <row r="119" s="226" customFormat="1" x14ac:dyDescent="0.25"/>
    <row r="120" s="226" customFormat="1" x14ac:dyDescent="0.25"/>
    <row r="121" s="226" customFormat="1" x14ac:dyDescent="0.25"/>
    <row r="122" s="226" customFormat="1" x14ac:dyDescent="0.25"/>
    <row r="123" s="226" customFormat="1" x14ac:dyDescent="0.25"/>
    <row r="124" s="226" customFormat="1" x14ac:dyDescent="0.25"/>
    <row r="125" s="226" customFormat="1" x14ac:dyDescent="0.25"/>
    <row r="126" s="226" customFormat="1" x14ac:dyDescent="0.25"/>
    <row r="127" s="226" customFormat="1" x14ac:dyDescent="0.25"/>
    <row r="128" s="226" customFormat="1" x14ac:dyDescent="0.25"/>
    <row r="129" s="226" customFormat="1" x14ac:dyDescent="0.25"/>
    <row r="130" s="226" customFormat="1" x14ac:dyDescent="0.25"/>
    <row r="131" s="226" customFormat="1" x14ac:dyDescent="0.25"/>
    <row r="132" s="226" customFormat="1" x14ac:dyDescent="0.25"/>
    <row r="133" s="226" customFormat="1" x14ac:dyDescent="0.25"/>
    <row r="134" s="226" customFormat="1" x14ac:dyDescent="0.25"/>
    <row r="135" s="226" customFormat="1" x14ac:dyDescent="0.25"/>
    <row r="136" s="226" customFormat="1" x14ac:dyDescent="0.25"/>
    <row r="137" s="226" customFormat="1" x14ac:dyDescent="0.25"/>
    <row r="138" s="226" customFormat="1" x14ac:dyDescent="0.25"/>
    <row r="139" s="226" customFormat="1" x14ac:dyDescent="0.25"/>
    <row r="140" s="226" customFormat="1" x14ac:dyDescent="0.25"/>
    <row r="141" s="226" customFormat="1" x14ac:dyDescent="0.25"/>
    <row r="142" s="226" customFormat="1" x14ac:dyDescent="0.25"/>
    <row r="143" s="226" customFormat="1" x14ac:dyDescent="0.25"/>
    <row r="144" s="226" customFormat="1" x14ac:dyDescent="0.25"/>
    <row r="145" s="226" customFormat="1" x14ac:dyDescent="0.25"/>
    <row r="146" s="226" customFormat="1" x14ac:dyDescent="0.25"/>
    <row r="147" s="226" customFormat="1" x14ac:dyDescent="0.25"/>
    <row r="148" s="226" customFormat="1" x14ac:dyDescent="0.25"/>
    <row r="149" s="226" customFormat="1" x14ac:dyDescent="0.25"/>
    <row r="150" s="226" customFormat="1" x14ac:dyDescent="0.25"/>
    <row r="151" s="226" customFormat="1" x14ac:dyDescent="0.25"/>
    <row r="152" s="226" customFormat="1" x14ac:dyDescent="0.25"/>
    <row r="153" s="226" customFormat="1" x14ac:dyDescent="0.25"/>
    <row r="154" s="226" customFormat="1" x14ac:dyDescent="0.25"/>
    <row r="155" s="226" customFormat="1" x14ac:dyDescent="0.25"/>
    <row r="156" s="226" customFormat="1" x14ac:dyDescent="0.25"/>
    <row r="157" s="226" customFormat="1" x14ac:dyDescent="0.25"/>
    <row r="158" s="226" customFormat="1" x14ac:dyDescent="0.25"/>
    <row r="159" s="226" customFormat="1" x14ac:dyDescent="0.25"/>
    <row r="160" s="226" customFormat="1" x14ac:dyDescent="0.25"/>
    <row r="161" s="226" customFormat="1" x14ac:dyDescent="0.25"/>
    <row r="162" s="226" customFormat="1" x14ac:dyDescent="0.25"/>
    <row r="163" s="226" customFormat="1" x14ac:dyDescent="0.25"/>
    <row r="164" s="226" customFormat="1" x14ac:dyDescent="0.25"/>
    <row r="165" s="226" customFormat="1" x14ac:dyDescent="0.25"/>
    <row r="166" s="226" customFormat="1" x14ac:dyDescent="0.25"/>
    <row r="167" s="226" customFormat="1" x14ac:dyDescent="0.25"/>
    <row r="168" s="226" customFormat="1" x14ac:dyDescent="0.25"/>
    <row r="169" s="226" customFormat="1" x14ac:dyDescent="0.25"/>
    <row r="170" s="226" customFormat="1" x14ac:dyDescent="0.25"/>
    <row r="171" s="226" customFormat="1" x14ac:dyDescent="0.25"/>
    <row r="172" s="226" customFormat="1" x14ac:dyDescent="0.25"/>
    <row r="173" s="226" customFormat="1" x14ac:dyDescent="0.25"/>
    <row r="174" s="226" customFormat="1" x14ac:dyDescent="0.25"/>
    <row r="175" s="226" customFormat="1" x14ac:dyDescent="0.25"/>
    <row r="176" s="226" customFormat="1" x14ac:dyDescent="0.25"/>
    <row r="177" s="226" customFormat="1" x14ac:dyDescent="0.25"/>
    <row r="178" s="226" customFormat="1" x14ac:dyDescent="0.25"/>
    <row r="179" s="226" customFormat="1" x14ac:dyDescent="0.25"/>
    <row r="180" s="226" customFormat="1" x14ac:dyDescent="0.25"/>
    <row r="181" s="226" customFormat="1" x14ac:dyDescent="0.25"/>
    <row r="182" s="226" customFormat="1" x14ac:dyDescent="0.25"/>
    <row r="183" s="226" customFormat="1" x14ac:dyDescent="0.25"/>
    <row r="184" s="226" customFormat="1" x14ac:dyDescent="0.25"/>
    <row r="185" s="226" customFormat="1" x14ac:dyDescent="0.25"/>
    <row r="186" s="226" customFormat="1" x14ac:dyDescent="0.25"/>
    <row r="187" s="226" customFormat="1" x14ac:dyDescent="0.25"/>
    <row r="188" s="226" customFormat="1" x14ac:dyDescent="0.25"/>
    <row r="189" s="226" customFormat="1" x14ac:dyDescent="0.25"/>
    <row r="190" s="226" customFormat="1" x14ac:dyDescent="0.25"/>
    <row r="191" s="226" customFormat="1" x14ac:dyDescent="0.25"/>
    <row r="192" s="226" customFormat="1" x14ac:dyDescent="0.25"/>
    <row r="193" s="226" customFormat="1" x14ac:dyDescent="0.25"/>
    <row r="194" s="226" customFormat="1" x14ac:dyDescent="0.25"/>
    <row r="195" s="226" customFormat="1" x14ac:dyDescent="0.25"/>
    <row r="196" s="226" customFormat="1" x14ac:dyDescent="0.25"/>
    <row r="197" s="226" customFormat="1" x14ac:dyDescent="0.25"/>
    <row r="198" s="226" customFormat="1" x14ac:dyDescent="0.25"/>
    <row r="199" s="226" customFormat="1" x14ac:dyDescent="0.25"/>
    <row r="200" s="226" customFormat="1" x14ac:dyDescent="0.25"/>
    <row r="201" s="226" customFormat="1" x14ac:dyDescent="0.25"/>
    <row r="202" s="226" customFormat="1" x14ac:dyDescent="0.25"/>
    <row r="203" s="226" customFormat="1" x14ac:dyDescent="0.25"/>
    <row r="204" s="226" customFormat="1" x14ac:dyDescent="0.25"/>
    <row r="205" s="226" customFormat="1" x14ac:dyDescent="0.25"/>
    <row r="206" s="226" customFormat="1" x14ac:dyDescent="0.25"/>
    <row r="207" s="226" customFormat="1" x14ac:dyDescent="0.25"/>
    <row r="208" s="226" customFormat="1" x14ac:dyDescent="0.25"/>
    <row r="209" s="226" customFormat="1" x14ac:dyDescent="0.25"/>
    <row r="210" s="226" customFormat="1" x14ac:dyDescent="0.25"/>
    <row r="211" s="226" customFormat="1" x14ac:dyDescent="0.25"/>
    <row r="212" s="226" customFormat="1" x14ac:dyDescent="0.25"/>
    <row r="213" s="226" customFormat="1" x14ac:dyDescent="0.25"/>
    <row r="214" s="226" customFormat="1" x14ac:dyDescent="0.25"/>
    <row r="215" s="226" customFormat="1" x14ac:dyDescent="0.25"/>
    <row r="216" s="226" customFormat="1" x14ac:dyDescent="0.25"/>
    <row r="217" s="226" customFormat="1" x14ac:dyDescent="0.25"/>
    <row r="218" s="226" customFormat="1" x14ac:dyDescent="0.25"/>
    <row r="219" s="226" customFormat="1" x14ac:dyDescent="0.25"/>
    <row r="220" s="226" customFormat="1" x14ac:dyDescent="0.25"/>
    <row r="221" s="226" customFormat="1" x14ac:dyDescent="0.25"/>
    <row r="222" s="226" customFormat="1" x14ac:dyDescent="0.25"/>
    <row r="223" s="226" customFormat="1" x14ac:dyDescent="0.25"/>
    <row r="224" s="226" customFormat="1" x14ac:dyDescent="0.25"/>
    <row r="225" s="226" customFormat="1" x14ac:dyDescent="0.25"/>
    <row r="226" s="226" customFormat="1" x14ac:dyDescent="0.25"/>
    <row r="227" s="226" customFormat="1" x14ac:dyDescent="0.25"/>
    <row r="228" s="226" customFormat="1" x14ac:dyDescent="0.25"/>
    <row r="229" s="226" customFormat="1" x14ac:dyDescent="0.25"/>
    <row r="230" s="226" customFormat="1" x14ac:dyDescent="0.25"/>
    <row r="231" s="226" customFormat="1" x14ac:dyDescent="0.25"/>
    <row r="232" s="226" customFormat="1" x14ac:dyDescent="0.25"/>
    <row r="233" s="226" customFormat="1" x14ac:dyDescent="0.25"/>
    <row r="234" s="226" customFormat="1" x14ac:dyDescent="0.25"/>
    <row r="235" s="226" customFormat="1" x14ac:dyDescent="0.25"/>
    <row r="236" s="226" customFormat="1" x14ac:dyDescent="0.25"/>
    <row r="237" s="226" customFormat="1" x14ac:dyDescent="0.25"/>
  </sheetData>
  <sheetProtection algorithmName="SHA-512" hashValue="gtgypv7csfcxSTTz0Fg0M26lTeMzzKg3QBxQuahZ1dXLCxDXwFzANih6ZpaNu7wsB+uRsA/y8XdrwuvwzydvNw==" saltValue="4tiwzUSfCEHBbvfRdKANGA==" spinCount="100000" sheet="1" selectLockedCells="1"/>
  <mergeCells count="4">
    <mergeCell ref="B13:G13"/>
    <mergeCell ref="A1:D1"/>
    <mergeCell ref="A2:D2"/>
    <mergeCell ref="B38:G38"/>
  </mergeCells>
  <phoneticPr fontId="76" type="noConversion"/>
  <dataValidations xWindow="704" yWindow="588" count="3">
    <dataValidation type="whole" allowBlank="1" showInputMessage="1" showErrorMessage="1" error="Wrong input amount" prompt="Please input the amount." sqref="E15:E34 E40:E59" xr:uid="{00000000-0002-0000-0C00-000000000000}">
      <formula1>1</formula1>
      <formula2>2500000</formula2>
    </dataValidation>
    <dataValidation type="list" allowBlank="1" showInputMessage="1" showErrorMessage="1" promptTitle="Select Option" prompt="1. Active_x000a_2. Dormant" sqref="F40:F59 F15:F16 F18:F34" xr:uid="{00000000-0002-0000-0C00-000001000000}">
      <formula1>"Active,Dormant"</formula1>
    </dataValidation>
    <dataValidation allowBlank="1" showInputMessage="1" showErrorMessage="1" error="Wrong input amount" prompt="Please input the contact of the depositor" sqref="C15:C34 C40:C59" xr:uid="{00000000-0002-0000-0C00-000002000000}"/>
  </dataValidations>
  <pageMargins left="0.7" right="0.7" top="0.75" bottom="0.75" header="0.3" footer="0.3"/>
  <pageSetup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A1:AE32"/>
  <sheetViews>
    <sheetView topLeftCell="A16" zoomScale="106" zoomScaleNormal="106" workbookViewId="0">
      <selection activeCell="E29" sqref="E29"/>
    </sheetView>
  </sheetViews>
  <sheetFormatPr defaultColWidth="9.28515625" defaultRowHeight="15" x14ac:dyDescent="0.25"/>
  <cols>
    <col min="1" max="1" width="7.28515625" style="13" customWidth="1"/>
    <col min="2" max="2" width="48.7109375" style="13" customWidth="1"/>
    <col min="3" max="3" width="53.28515625" style="13" customWidth="1"/>
    <col min="4" max="4" width="28.28515625" style="86" customWidth="1"/>
    <col min="5" max="16384" width="9.28515625" style="13"/>
  </cols>
  <sheetData>
    <row r="1" spans="1:31" ht="16.5" thickBot="1" x14ac:dyDescent="0.3">
      <c r="G1" s="18"/>
    </row>
    <row r="2" spans="1:31" x14ac:dyDescent="0.25">
      <c r="A2" s="330" t="s">
        <v>101</v>
      </c>
      <c r="B2" s="331" t="s">
        <v>102</v>
      </c>
      <c r="C2" s="332" t="s">
        <v>103</v>
      </c>
      <c r="D2" s="333" t="s">
        <v>104</v>
      </c>
    </row>
    <row r="3" spans="1:31" x14ac:dyDescent="0.25">
      <c r="A3" s="334"/>
      <c r="B3" s="335" t="s">
        <v>105</v>
      </c>
      <c r="C3" s="336"/>
      <c r="D3" s="337"/>
    </row>
    <row r="4" spans="1:31" ht="45" x14ac:dyDescent="0.25">
      <c r="A4" s="338"/>
      <c r="B4" s="339" t="s">
        <v>106</v>
      </c>
      <c r="C4" s="340" t="s">
        <v>261</v>
      </c>
      <c r="D4" s="341">
        <f>IFERROR('Profit &amp; Loss Statement'!D28/'Balance Sheet'!D20, 0)</f>
        <v>2.7993249045369191E-3</v>
      </c>
    </row>
    <row r="5" spans="1:31" ht="45" x14ac:dyDescent="0.25">
      <c r="A5" s="338"/>
      <c r="B5" s="339" t="s">
        <v>107</v>
      </c>
      <c r="C5" s="340" t="s">
        <v>262</v>
      </c>
      <c r="D5" s="342">
        <f>IFERROR('Profit &amp; Loss Statement'!D28/'Balance Sheet'!D35, 0)</f>
        <v>3.6883399015704304E-3</v>
      </c>
    </row>
    <row r="6" spans="1:31" ht="39" customHeight="1" x14ac:dyDescent="0.25">
      <c r="A6" s="338"/>
      <c r="B6" s="339" t="s">
        <v>399</v>
      </c>
      <c r="C6" s="340" t="s">
        <v>400</v>
      </c>
      <c r="D6" s="342">
        <f>IFERROR('Profit &amp; Loss Statement'!D28/('Balance Sheet'!D14+'Balance Sheet'!D16),0)</f>
        <v>0.1209966666666666</v>
      </c>
    </row>
    <row r="7" spans="1:31" ht="30" x14ac:dyDescent="0.25">
      <c r="A7" s="338"/>
      <c r="B7" s="339" t="s">
        <v>108</v>
      </c>
      <c r="C7" s="339" t="s">
        <v>391</v>
      </c>
      <c r="D7" s="341">
        <f>IFERROR('Profit &amp; Loss Statement'!D16/('Profit &amp; Loss Statement'!D17+'Profit &amp; Loss Statement'!D22),0)</f>
        <v>1.1770682926829268</v>
      </c>
    </row>
    <row r="8" spans="1:31" ht="30" x14ac:dyDescent="0.25">
      <c r="A8" s="338"/>
      <c r="B8" s="339" t="s">
        <v>109</v>
      </c>
      <c r="C8" s="343" t="s">
        <v>110</v>
      </c>
      <c r="D8" s="341">
        <f>IFERROR('Profit &amp; Loss Statement'!D28/('Profit &amp; Loss Statement'!D16),0)</f>
        <v>0.15043162217829326</v>
      </c>
    </row>
    <row r="9" spans="1:31" x14ac:dyDescent="0.25">
      <c r="A9" s="338"/>
      <c r="B9" s="344" t="s">
        <v>205</v>
      </c>
      <c r="C9" s="345"/>
      <c r="D9" s="346"/>
    </row>
    <row r="10" spans="1:31" s="146" customFormat="1" ht="45" x14ac:dyDescent="0.2">
      <c r="A10" s="347"/>
      <c r="B10" s="349" t="s">
        <v>202</v>
      </c>
      <c r="C10" s="340" t="s">
        <v>263</v>
      </c>
      <c r="D10" s="341">
        <f>IFERROR(('Balance Sheet'!D13+'Balance Sheet'!D14+'Balance Sheet'!D16)/'Balance Sheet'!D20,0)</f>
        <v>0.45419264435910855</v>
      </c>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row>
    <row r="11" spans="1:31" ht="45" x14ac:dyDescent="0.2">
      <c r="A11" s="338"/>
      <c r="B11" s="348" t="s">
        <v>203</v>
      </c>
      <c r="C11" s="340" t="s">
        <v>405</v>
      </c>
      <c r="D11" s="341">
        <f>IFERROR(('Balance Sheet'!D19/'Balance Sheet'!D20),0)</f>
        <v>0.54580735564089145</v>
      </c>
    </row>
    <row r="12" spans="1:31" ht="45" x14ac:dyDescent="0.2">
      <c r="A12" s="338"/>
      <c r="B12" s="348" t="s">
        <v>401</v>
      </c>
      <c r="C12" s="343" t="s">
        <v>403</v>
      </c>
      <c r="D12" s="341">
        <f>IFERROR('Balance Sheet'!D13/'Balance Sheet'!D22,0)</f>
        <v>1.7883669812829948</v>
      </c>
    </row>
    <row r="13" spans="1:31" ht="60" x14ac:dyDescent="0.2">
      <c r="A13" s="338"/>
      <c r="B13" s="348" t="s">
        <v>402</v>
      </c>
      <c r="C13" s="340" t="s">
        <v>404</v>
      </c>
      <c r="D13" s="341">
        <f>IFERROR(('Balance Sheet'!D13+'Balance Sheet'!D14+'Balance Sheet'!D16)/('Balance Sheet'!D22),0)</f>
        <v>1.8843516237402016</v>
      </c>
    </row>
    <row r="14" spans="1:31" ht="45" x14ac:dyDescent="0.2">
      <c r="A14" s="338"/>
      <c r="B14" s="348" t="s">
        <v>409</v>
      </c>
      <c r="C14" s="340" t="s">
        <v>410</v>
      </c>
      <c r="D14" s="341">
        <f>IFERROR('Balance Sheet'!D25/'Balance Sheet'!D35,0)</f>
        <v>0</v>
      </c>
    </row>
    <row r="15" spans="1:31" ht="45" x14ac:dyDescent="0.2">
      <c r="A15" s="338"/>
      <c r="B15" s="349" t="s">
        <v>204</v>
      </c>
      <c r="C15" s="340" t="s">
        <v>264</v>
      </c>
      <c r="D15" s="341">
        <f>IFERROR('Balance Sheet'!D25/'Balance Sheet'!D20, 0)</f>
        <v>0</v>
      </c>
    </row>
    <row r="16" spans="1:31" ht="45" x14ac:dyDescent="0.25">
      <c r="A16" s="338" t="s">
        <v>120</v>
      </c>
      <c r="B16" s="339" t="s">
        <v>121</v>
      </c>
      <c r="C16" s="340" t="s">
        <v>392</v>
      </c>
      <c r="D16" s="341">
        <f>IFERROR(('Balance Sheet'!D13+'Balance Sheet'!D14)/('Balance Sheet'!D22+'Balance Sheet'!D23+'Balance Sheet'!D26+'Balance Sheet'!D27),0)</f>
        <v>1.8843516237402016</v>
      </c>
    </row>
    <row r="17" spans="1:4" ht="30" x14ac:dyDescent="0.25">
      <c r="A17" s="350"/>
      <c r="B17" s="351" t="s">
        <v>265</v>
      </c>
      <c r="C17" s="352"/>
      <c r="D17" s="353"/>
    </row>
    <row r="18" spans="1:4" x14ac:dyDescent="0.25">
      <c r="A18" s="338" t="s">
        <v>111</v>
      </c>
      <c r="B18" s="339" t="s">
        <v>112</v>
      </c>
      <c r="C18" s="340"/>
      <c r="D18" s="342">
        <f>'Balance Sheet'!D20</f>
        <v>129670.55</v>
      </c>
    </row>
    <row r="19" spans="1:4" ht="45" x14ac:dyDescent="0.25">
      <c r="A19" s="338"/>
      <c r="B19" s="339" t="s">
        <v>411</v>
      </c>
      <c r="C19" s="340" t="s">
        <v>412</v>
      </c>
      <c r="D19" s="342">
        <f>IFERROR(('Balance Sheet'!D14+'Balance Sheet'!D16)/'Balance Sheet'!D20,0)</f>
        <v>2.3135553909503739E-2</v>
      </c>
    </row>
    <row r="20" spans="1:4" ht="30" x14ac:dyDescent="0.25">
      <c r="A20" s="354" t="s">
        <v>113</v>
      </c>
      <c r="B20" s="339" t="s">
        <v>114</v>
      </c>
      <c r="C20" s="340" t="s">
        <v>266</v>
      </c>
      <c r="D20" s="341">
        <f>IFERROR('Balance Sheet'!D35/'Balance Sheet'!D20,0)</f>
        <v>0.75896608751948691</v>
      </c>
    </row>
    <row r="21" spans="1:4" x14ac:dyDescent="0.25">
      <c r="A21" s="338"/>
      <c r="B21" s="339" t="s">
        <v>383</v>
      </c>
      <c r="C21" s="340"/>
      <c r="D21" s="341">
        <f>IFERROR('Top Largest Depositors'!E12/'Deposits Portfolio'!E16,0)</f>
        <v>0.87490001599744038</v>
      </c>
    </row>
    <row r="22" spans="1:4" ht="30" x14ac:dyDescent="0.25">
      <c r="A22" s="338" t="s">
        <v>115</v>
      </c>
      <c r="B22" s="339" t="s">
        <v>116</v>
      </c>
      <c r="C22" s="340" t="s">
        <v>267</v>
      </c>
      <c r="D22" s="341">
        <f>IFERROR('Balance Sheet'!D28/'Balance Sheet'!D35,0)</f>
        <v>0.3175819268398134</v>
      </c>
    </row>
    <row r="23" spans="1:4" ht="45" x14ac:dyDescent="0.25">
      <c r="A23" s="338" t="s">
        <v>117</v>
      </c>
      <c r="B23" s="339" t="s">
        <v>384</v>
      </c>
      <c r="C23" s="340" t="s">
        <v>385</v>
      </c>
      <c r="D23" s="341">
        <f>IFERROR(('Profit &amp; Loss Statement'!D13+'Profit &amp; Loss Statement'!D15)/'Balance Sheet'!D22,0)</f>
        <v>6.1110222364421693E-2</v>
      </c>
    </row>
    <row r="24" spans="1:4" ht="30" x14ac:dyDescent="0.25">
      <c r="A24" s="338" t="s">
        <v>118</v>
      </c>
      <c r="B24" s="339" t="s">
        <v>119</v>
      </c>
      <c r="C24" s="340" t="s">
        <v>386</v>
      </c>
      <c r="D24" s="341">
        <f>IFERROR(('Profit &amp; Loss Statement'!D14/('Balance Sheet'!D14+'Balance Sheet'!D16)),0)</f>
        <v>0.16766333333333333</v>
      </c>
    </row>
    <row r="25" spans="1:4" x14ac:dyDescent="0.25">
      <c r="A25" s="350"/>
      <c r="B25" s="351" t="s">
        <v>122</v>
      </c>
      <c r="C25" s="352"/>
      <c r="D25" s="353"/>
    </row>
    <row r="26" spans="1:4" ht="30" x14ac:dyDescent="0.25">
      <c r="A26" s="338" t="s">
        <v>123</v>
      </c>
      <c r="B26" s="339" t="s">
        <v>124</v>
      </c>
      <c r="C26" s="340" t="s">
        <v>268</v>
      </c>
      <c r="D26" s="341">
        <f>IFERROR('Profit &amp; Loss Statement'!D22/'Profit &amp; Loss Statement'!D16,0)</f>
        <v>0.8495683778217068</v>
      </c>
    </row>
    <row r="27" spans="1:4" ht="30" x14ac:dyDescent="0.25">
      <c r="A27" s="338" t="s">
        <v>125</v>
      </c>
      <c r="B27" s="339" t="s">
        <v>126</v>
      </c>
      <c r="C27" s="343" t="s">
        <v>407</v>
      </c>
      <c r="D27" s="341">
        <f>IFERROR('Profit &amp; Loss Statement'!D19/'Profit &amp; Loss Statement'!D16,0)</f>
        <v>0</v>
      </c>
    </row>
    <row r="28" spans="1:4" ht="30" x14ac:dyDescent="0.25">
      <c r="A28" s="338" t="s">
        <v>127</v>
      </c>
      <c r="B28" s="339" t="s">
        <v>128</v>
      </c>
      <c r="C28" s="340" t="s">
        <v>408</v>
      </c>
      <c r="D28" s="341">
        <f>IFERROR(('Profit &amp; Loss Statement'!D20+'Profit &amp; Loss Statement'!D21)/'Profit &amp; Loss Statement'!D16,0)</f>
        <v>0.8495683778217068</v>
      </c>
    </row>
    <row r="29" spans="1:4" ht="30" x14ac:dyDescent="0.25">
      <c r="A29" s="338" t="s">
        <v>129</v>
      </c>
      <c r="B29" s="339" t="s">
        <v>130</v>
      </c>
      <c r="C29" s="340" t="s">
        <v>406</v>
      </c>
      <c r="D29" s="342">
        <f>IFERROR((('Profit &amp; Loss Statement'!D17+'Profit &amp; Loss Statement'!D22-'Profit &amp; Loss Statement'!D25+'Profit &amp; Loss Statement'!D27)/('Profit &amp; Loss Statement'!D16+'Profit &amp; Loss Statement'!D24)),0)</f>
        <v>0.8495683778217068</v>
      </c>
    </row>
    <row r="30" spans="1:4" x14ac:dyDescent="0.25">
      <c r="A30" s="350"/>
      <c r="B30" s="351" t="s">
        <v>131</v>
      </c>
      <c r="C30" s="352"/>
      <c r="D30" s="353"/>
    </row>
    <row r="31" spans="1:4" ht="30" x14ac:dyDescent="0.25">
      <c r="A31" s="338" t="s">
        <v>132</v>
      </c>
      <c r="B31" s="339" t="s">
        <v>387</v>
      </c>
      <c r="C31" s="343" t="s">
        <v>388</v>
      </c>
      <c r="D31" s="341">
        <f>IFERROR('Deposits Portfolio'!D16/'Outreach &amp; Social Performance'!D18,0)</f>
        <v>190</v>
      </c>
    </row>
    <row r="32" spans="1:4" ht="30" x14ac:dyDescent="0.25">
      <c r="A32" s="338" t="s">
        <v>133</v>
      </c>
      <c r="B32" s="339" t="s">
        <v>389</v>
      </c>
      <c r="C32" s="343" t="s">
        <v>390</v>
      </c>
      <c r="D32" s="341">
        <f>IFERROR('Deposits Portfolio'!D16/'Outreach &amp; Social Performance'!D15,0)</f>
        <v>126.66666666666667</v>
      </c>
    </row>
  </sheetData>
  <sheetProtection algorithmName="SHA-512" hashValue="dejEZsEgSut2Tt6T3XE/Q+okE3uD3J/D6hI1i87taeLsOGOSn0Yd/bgiOIMShwk1yAghIRUuOg/JYvuCR4dYcA==" saltValue="ckedhykmV+6Xie5foXJnHA==" spinCount="100000" sheet="1" objects="1" scenarios="1" select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Notes_Old</vt:lpstr>
      <vt:lpstr>Errors Summary Sheet</vt:lpstr>
      <vt:lpstr>Cover Sheet</vt:lpstr>
      <vt:lpstr>Profit &amp; Loss Statement</vt:lpstr>
      <vt:lpstr>Balance Sheet</vt:lpstr>
      <vt:lpstr>Cash and Bank Notes</vt:lpstr>
      <vt:lpstr>Investment Details</vt:lpstr>
      <vt:lpstr>Acc Receivables &amp; Other Assets</vt:lpstr>
      <vt:lpstr>Borrowings</vt:lpstr>
      <vt:lpstr>Other Liabilities</vt:lpstr>
      <vt:lpstr>Outreach &amp; Social Performance</vt:lpstr>
      <vt:lpstr>Deposits Portfolio</vt:lpstr>
      <vt:lpstr>Top Largest Depositors</vt:lpstr>
      <vt:lpstr>Ratios</vt:lpstr>
      <vt:lpstr>SAVING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Agyeman Owusu</dc:creator>
  <cp:lastModifiedBy>CHURCH</cp:lastModifiedBy>
  <cp:lastPrinted>2024-05-20T18:38:13Z</cp:lastPrinted>
  <dcterms:created xsi:type="dcterms:W3CDTF">2022-07-11T11:34:56Z</dcterms:created>
  <dcterms:modified xsi:type="dcterms:W3CDTF">2026-07-20T16:24:45Z</dcterms:modified>
</cp:coreProperties>
</file>